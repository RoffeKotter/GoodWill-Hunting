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philipberlin/Desktop/Kandidatarbete/"/>
    </mc:Choice>
  </mc:AlternateContent>
  <xr:revisionPtr revIDLastSave="0" documentId="13_ncr:1_{4569FBF6-1114-2242-87A1-DE7A443EAA45}" xr6:coauthVersionLast="47" xr6:coauthVersionMax="47" xr10:uidLastSave="{00000000-0000-0000-0000-000000000000}"/>
  <bookViews>
    <workbookView xWindow="0" yWindow="500" windowWidth="28800" windowHeight="17500" xr2:uid="{00000000-000D-0000-FFFF-FFFF00000000}"/>
  </bookViews>
  <sheets>
    <sheet name="Datainsamling" sheetId="1" r:id="rId1"/>
    <sheet name="1100" sheetId="2" r:id="rId2"/>
    <sheet name="Kopia av Blad11" sheetId="3" r:id="rId3"/>
    <sheet name="Projektplanering" sheetId="4" r:id="rId4"/>
    <sheet name="Grafer" sheetId="5" r:id="rId5"/>
    <sheet name="Output" sheetId="6" r:id="rId6"/>
    <sheet name="Blad10" sheetId="7" r:id="rId7"/>
  </sheets>
  <definedNames>
    <definedName name="_xlnm._FilterDatabase" localSheetId="0" hidden="1">Datainsamling!$A$1:$BR$103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0" i="7" l="1"/>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39"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E2" i="7"/>
  <c r="C2" i="7"/>
  <c r="L500" i="6"/>
  <c r="K500" i="6"/>
  <c r="L499" i="6"/>
  <c r="K499" i="6"/>
  <c r="L498" i="6"/>
  <c r="K498" i="6"/>
  <c r="L497" i="6"/>
  <c r="K497" i="6"/>
  <c r="L496" i="6"/>
  <c r="K496" i="6"/>
  <c r="L495" i="6"/>
  <c r="K495" i="6"/>
  <c r="L494" i="6"/>
  <c r="K494" i="6"/>
  <c r="L493" i="6"/>
  <c r="K493" i="6"/>
  <c r="L492" i="6"/>
  <c r="K492" i="6"/>
  <c r="L491" i="6"/>
  <c r="K491" i="6"/>
  <c r="L490" i="6"/>
  <c r="K490" i="6"/>
  <c r="L489" i="6"/>
  <c r="K489" i="6"/>
  <c r="L488" i="6"/>
  <c r="K488" i="6"/>
  <c r="L487" i="6"/>
  <c r="K487" i="6"/>
  <c r="L486" i="6"/>
  <c r="K486" i="6"/>
  <c r="L485" i="6"/>
  <c r="K485" i="6"/>
  <c r="L484" i="6"/>
  <c r="K484" i="6"/>
  <c r="L483" i="6"/>
  <c r="K483" i="6"/>
  <c r="L482" i="6"/>
  <c r="K482" i="6"/>
  <c r="L481" i="6"/>
  <c r="K481" i="6"/>
  <c r="L480" i="6"/>
  <c r="K480" i="6"/>
  <c r="L479" i="6"/>
  <c r="K479" i="6"/>
  <c r="L478" i="6"/>
  <c r="K478" i="6"/>
  <c r="L477" i="6"/>
  <c r="K477" i="6"/>
  <c r="L476" i="6"/>
  <c r="K476" i="6"/>
  <c r="L475" i="6"/>
  <c r="K475" i="6"/>
  <c r="L474" i="6"/>
  <c r="K474" i="6"/>
  <c r="L473" i="6"/>
  <c r="K473" i="6"/>
  <c r="L472" i="6"/>
  <c r="K472" i="6"/>
  <c r="L471" i="6"/>
  <c r="K471" i="6"/>
  <c r="L470" i="6"/>
  <c r="K470" i="6"/>
  <c r="L469" i="6"/>
  <c r="K469" i="6"/>
  <c r="L468" i="6"/>
  <c r="K468" i="6"/>
  <c r="L467" i="6"/>
  <c r="K467" i="6"/>
  <c r="L466" i="6"/>
  <c r="K466" i="6"/>
  <c r="L465" i="6"/>
  <c r="K465" i="6"/>
  <c r="L464" i="6"/>
  <c r="K464" i="6"/>
  <c r="L463" i="6"/>
  <c r="K463" i="6"/>
  <c r="L462" i="6"/>
  <c r="K462" i="6"/>
  <c r="L461" i="6"/>
  <c r="K461" i="6"/>
  <c r="K460" i="6"/>
  <c r="I460" i="6"/>
  <c r="L460" i="6" s="1"/>
  <c r="L459" i="6"/>
  <c r="K459" i="6"/>
  <c r="I459" i="6"/>
  <c r="L458" i="6"/>
  <c r="K458" i="6"/>
  <c r="I458" i="6"/>
  <c r="L457" i="6"/>
  <c r="K457" i="6"/>
  <c r="I457" i="6"/>
  <c r="K456" i="6"/>
  <c r="I456" i="6"/>
  <c r="L456" i="6" s="1"/>
  <c r="L455" i="6"/>
  <c r="K455" i="6"/>
  <c r="I455" i="6"/>
  <c r="G455" i="6"/>
  <c r="K454" i="6"/>
  <c r="J454" i="6"/>
  <c r="C454" i="7" s="1"/>
  <c r="I454" i="6"/>
  <c r="L454" i="6" s="1"/>
  <c r="G454" i="6"/>
  <c r="K453" i="6"/>
  <c r="J453" i="6"/>
  <c r="L453" i="6" s="1"/>
  <c r="I453" i="6"/>
  <c r="G453" i="6"/>
  <c r="K452" i="6"/>
  <c r="I452" i="6"/>
  <c r="L452" i="6" s="1"/>
  <c r="G452" i="6"/>
  <c r="L451" i="6"/>
  <c r="K451" i="6"/>
  <c r="I451" i="6"/>
  <c r="G451" i="6"/>
  <c r="L450" i="6"/>
  <c r="K450" i="6"/>
  <c r="L449" i="6"/>
  <c r="K449" i="6"/>
  <c r="L448" i="6"/>
  <c r="K448" i="6"/>
  <c r="L447" i="6"/>
  <c r="K447" i="6"/>
  <c r="L446" i="6"/>
  <c r="K446" i="6"/>
  <c r="L445" i="6"/>
  <c r="K445" i="6"/>
  <c r="L444" i="6"/>
  <c r="K444" i="6"/>
  <c r="L443" i="6"/>
  <c r="K443" i="6"/>
  <c r="L442" i="6"/>
  <c r="K442" i="6"/>
  <c r="L441" i="6"/>
  <c r="K441" i="6"/>
  <c r="L440" i="6"/>
  <c r="K440" i="6"/>
  <c r="L439" i="6"/>
  <c r="K439" i="6"/>
  <c r="L438" i="6"/>
  <c r="K438" i="6"/>
  <c r="L437" i="6"/>
  <c r="K437" i="6"/>
  <c r="L436" i="6"/>
  <c r="K436" i="6"/>
  <c r="L435" i="6"/>
  <c r="K435" i="6"/>
  <c r="L434" i="6"/>
  <c r="K434" i="6"/>
  <c r="L433" i="6"/>
  <c r="K433" i="6"/>
  <c r="L432" i="6"/>
  <c r="K432" i="6"/>
  <c r="L431" i="6"/>
  <c r="K431" i="6"/>
  <c r="L430" i="6"/>
  <c r="K430" i="6"/>
  <c r="L429" i="6"/>
  <c r="K429" i="6"/>
  <c r="L428" i="6"/>
  <c r="K428" i="6"/>
  <c r="L427" i="6"/>
  <c r="K427" i="6"/>
  <c r="L426" i="6"/>
  <c r="K426" i="6"/>
  <c r="K425" i="6"/>
  <c r="I425" i="6"/>
  <c r="L425" i="6" s="1"/>
  <c r="K424" i="6"/>
  <c r="I424" i="6"/>
  <c r="L424" i="6" s="1"/>
  <c r="K423" i="6"/>
  <c r="I423" i="6"/>
  <c r="L423" i="6" s="1"/>
  <c r="K422" i="6"/>
  <c r="I422" i="6"/>
  <c r="L422" i="6" s="1"/>
  <c r="L421" i="6"/>
  <c r="K421" i="6"/>
  <c r="I421" i="6"/>
  <c r="L420" i="6"/>
  <c r="K420" i="6"/>
  <c r="L419" i="6"/>
  <c r="K419" i="6"/>
  <c r="L418" i="6"/>
  <c r="K418" i="6"/>
  <c r="L417" i="6"/>
  <c r="K417" i="6"/>
  <c r="L416" i="6"/>
  <c r="K416" i="6"/>
  <c r="K415" i="6"/>
  <c r="I415" i="6"/>
  <c r="L415" i="6" s="1"/>
  <c r="L414" i="6"/>
  <c r="K414" i="6"/>
  <c r="I414" i="6"/>
  <c r="L413" i="6"/>
  <c r="K413" i="6"/>
  <c r="L412" i="6"/>
  <c r="K412" i="6"/>
  <c r="L411" i="6"/>
  <c r="K411" i="6"/>
  <c r="L410" i="6"/>
  <c r="K410" i="6"/>
  <c r="L409" i="6"/>
  <c r="K409" i="6"/>
  <c r="L408" i="6"/>
  <c r="K408" i="6"/>
  <c r="L407" i="6"/>
  <c r="K407" i="6"/>
  <c r="L406" i="6"/>
  <c r="K406" i="6"/>
  <c r="L405" i="6"/>
  <c r="K405" i="6"/>
  <c r="I405" i="6"/>
  <c r="L404" i="6"/>
  <c r="K404" i="6"/>
  <c r="I404" i="6"/>
  <c r="K403" i="6"/>
  <c r="I403" i="6"/>
  <c r="L403" i="6" s="1"/>
  <c r="L402" i="6"/>
  <c r="K402" i="6"/>
  <c r="I402" i="6"/>
  <c r="K401" i="6"/>
  <c r="I401" i="6"/>
  <c r="L401" i="6" s="1"/>
  <c r="L400" i="6"/>
  <c r="K400" i="6"/>
  <c r="L399" i="6"/>
  <c r="K399" i="6"/>
  <c r="L398" i="6"/>
  <c r="K398" i="6"/>
  <c r="L397" i="6"/>
  <c r="K397" i="6"/>
  <c r="L396" i="6"/>
  <c r="K396" i="6"/>
  <c r="K395" i="6"/>
  <c r="I395" i="6"/>
  <c r="L395" i="6" s="1"/>
  <c r="K394" i="6"/>
  <c r="I394" i="6"/>
  <c r="L394" i="6" s="1"/>
  <c r="K393" i="6"/>
  <c r="I393" i="6"/>
  <c r="L393" i="6" s="1"/>
  <c r="L392" i="6"/>
  <c r="K392" i="6"/>
  <c r="L391" i="6"/>
  <c r="K391" i="6"/>
  <c r="L390" i="6"/>
  <c r="K390" i="6"/>
  <c r="L389" i="6"/>
  <c r="K389" i="6"/>
  <c r="L388" i="6"/>
  <c r="K388" i="6"/>
  <c r="L387" i="6"/>
  <c r="K387" i="6"/>
  <c r="L386" i="6"/>
  <c r="K386" i="6"/>
  <c r="L385" i="6"/>
  <c r="K385" i="6"/>
  <c r="L384" i="6"/>
  <c r="K384" i="6"/>
  <c r="L383" i="6"/>
  <c r="K383" i="6"/>
  <c r="L382" i="6"/>
  <c r="K382" i="6"/>
  <c r="L381" i="6"/>
  <c r="K381" i="6"/>
  <c r="L380" i="6"/>
  <c r="K380" i="6"/>
  <c r="L379" i="6"/>
  <c r="K379" i="6"/>
  <c r="L378" i="6"/>
  <c r="K378" i="6"/>
  <c r="L377" i="6"/>
  <c r="K377" i="6"/>
  <c r="L376" i="6"/>
  <c r="K376" i="6"/>
  <c r="L375" i="6"/>
  <c r="K375" i="6"/>
  <c r="L374" i="6"/>
  <c r="K374" i="6"/>
  <c r="L373" i="6"/>
  <c r="K373" i="6"/>
  <c r="L372" i="6"/>
  <c r="K372" i="6"/>
  <c r="L371" i="6"/>
  <c r="K371" i="6"/>
  <c r="L370" i="6"/>
  <c r="K370" i="6"/>
  <c r="L369" i="6"/>
  <c r="K369" i="6"/>
  <c r="L368" i="6"/>
  <c r="K368" i="6"/>
  <c r="L367" i="6"/>
  <c r="K367" i="6"/>
  <c r="L366" i="6"/>
  <c r="K366" i="6"/>
  <c r="L365" i="6"/>
  <c r="K365" i="6"/>
  <c r="I365" i="6"/>
  <c r="L364" i="6"/>
  <c r="K364" i="6"/>
  <c r="I364" i="6"/>
  <c r="K363" i="6"/>
  <c r="I363" i="6"/>
  <c r="L363" i="6" s="1"/>
  <c r="L362" i="6"/>
  <c r="K362" i="6"/>
  <c r="I362" i="6"/>
  <c r="K361" i="6"/>
  <c r="I361" i="6"/>
  <c r="L361" i="6" s="1"/>
  <c r="L360" i="6"/>
  <c r="K360" i="6"/>
  <c r="L359" i="6"/>
  <c r="K359" i="6"/>
  <c r="L358" i="6"/>
  <c r="K358" i="6"/>
  <c r="L357" i="6"/>
  <c r="K357" i="6"/>
  <c r="L356" i="6"/>
  <c r="K356" i="6"/>
  <c r="L355" i="6"/>
  <c r="K355" i="6"/>
  <c r="L354" i="6"/>
  <c r="K354" i="6"/>
  <c r="L353" i="6"/>
  <c r="K353" i="6"/>
  <c r="L352" i="6"/>
  <c r="K352" i="6"/>
  <c r="L351" i="6"/>
  <c r="K351" i="6"/>
  <c r="L350" i="6"/>
  <c r="K350" i="6"/>
  <c r="L349" i="6"/>
  <c r="K349" i="6"/>
  <c r="L348" i="6"/>
  <c r="K348" i="6"/>
  <c r="L347" i="6"/>
  <c r="K347" i="6"/>
  <c r="L346" i="6"/>
  <c r="K346" i="6"/>
  <c r="L345" i="6"/>
  <c r="K345" i="6"/>
  <c r="L344" i="6"/>
  <c r="K344" i="6"/>
  <c r="L343" i="6"/>
  <c r="K343" i="6"/>
  <c r="L342" i="6"/>
  <c r="K342" i="6"/>
  <c r="L341" i="6"/>
  <c r="K341" i="6"/>
  <c r="L340" i="6"/>
  <c r="K340" i="6"/>
  <c r="L339" i="6"/>
  <c r="K339" i="6"/>
  <c r="L338" i="6"/>
  <c r="K338" i="6"/>
  <c r="L337" i="6"/>
  <c r="K337" i="6"/>
  <c r="L336" i="6"/>
  <c r="K336" i="6"/>
  <c r="L335" i="6"/>
  <c r="K335" i="6"/>
  <c r="L334" i="6"/>
  <c r="K334" i="6"/>
  <c r="L333" i="6"/>
  <c r="K333" i="6"/>
  <c r="L332" i="6"/>
  <c r="K332" i="6"/>
  <c r="L331" i="6"/>
  <c r="K331" i="6"/>
  <c r="L330" i="6"/>
  <c r="K330" i="6"/>
  <c r="L329" i="6"/>
  <c r="K329" i="6"/>
  <c r="L328" i="6"/>
  <c r="K328" i="6"/>
  <c r="L327" i="6"/>
  <c r="K327" i="6"/>
  <c r="L326" i="6"/>
  <c r="K326" i="6"/>
  <c r="L325" i="6"/>
  <c r="K325" i="6"/>
  <c r="L324" i="6"/>
  <c r="K324" i="6"/>
  <c r="L323" i="6"/>
  <c r="K323" i="6"/>
  <c r="L322" i="6"/>
  <c r="K322" i="6"/>
  <c r="L321" i="6"/>
  <c r="K321" i="6"/>
  <c r="L320" i="6"/>
  <c r="K320" i="6"/>
  <c r="L319" i="6"/>
  <c r="K319" i="6"/>
  <c r="L318" i="6"/>
  <c r="K318" i="6"/>
  <c r="L317" i="6"/>
  <c r="K317" i="6"/>
  <c r="L316" i="6"/>
  <c r="K316" i="6"/>
  <c r="L315" i="6"/>
  <c r="K315" i="6"/>
  <c r="L314" i="6"/>
  <c r="K314" i="6"/>
  <c r="L313" i="6"/>
  <c r="K313" i="6"/>
  <c r="L312" i="6"/>
  <c r="K312" i="6"/>
  <c r="L311" i="6"/>
  <c r="K311" i="6"/>
  <c r="L310" i="6"/>
  <c r="K310" i="6"/>
  <c r="L309" i="6"/>
  <c r="K309" i="6"/>
  <c r="L308" i="6"/>
  <c r="K308" i="6"/>
  <c r="L307" i="6"/>
  <c r="K307" i="6"/>
  <c r="L306" i="6"/>
  <c r="K306" i="6"/>
  <c r="L305" i="6"/>
  <c r="K305" i="6"/>
  <c r="L304" i="6"/>
  <c r="K304" i="6"/>
  <c r="L303" i="6"/>
  <c r="K303" i="6"/>
  <c r="L302" i="6"/>
  <c r="K302" i="6"/>
  <c r="L301" i="6"/>
  <c r="K301" i="6"/>
  <c r="L300" i="6"/>
  <c r="K300" i="6"/>
  <c r="L299" i="6"/>
  <c r="K299" i="6"/>
  <c r="L298" i="6"/>
  <c r="K298" i="6"/>
  <c r="L297" i="6"/>
  <c r="K297" i="6"/>
  <c r="L296" i="6"/>
  <c r="K296" i="6"/>
  <c r="J295" i="6"/>
  <c r="I295" i="6"/>
  <c r="L294" i="6"/>
  <c r="K294" i="6"/>
  <c r="I294" i="6"/>
  <c r="L293" i="6"/>
  <c r="K293" i="6"/>
  <c r="I293" i="6"/>
  <c r="L292" i="6"/>
  <c r="K292" i="6"/>
  <c r="I292" i="6"/>
  <c r="K291" i="6"/>
  <c r="I291" i="6"/>
  <c r="L291" i="6" s="1"/>
  <c r="L290" i="6"/>
  <c r="K290" i="6"/>
  <c r="L289" i="6"/>
  <c r="K289" i="6"/>
  <c r="L288" i="6"/>
  <c r="K288" i="6"/>
  <c r="L287" i="6"/>
  <c r="K287" i="6"/>
  <c r="L286" i="6"/>
  <c r="K286" i="6"/>
  <c r="L285" i="6"/>
  <c r="K285" i="6"/>
  <c r="L284" i="6"/>
  <c r="K284" i="6"/>
  <c r="L283" i="6"/>
  <c r="K283" i="6"/>
  <c r="L282" i="6"/>
  <c r="K282" i="6"/>
  <c r="L281" i="6"/>
  <c r="K281" i="6"/>
  <c r="L280" i="6"/>
  <c r="K280" i="6"/>
  <c r="L279" i="6"/>
  <c r="K279" i="6"/>
  <c r="L278" i="6"/>
  <c r="K278" i="6"/>
  <c r="L277" i="6"/>
  <c r="K277" i="6"/>
  <c r="L276" i="6"/>
  <c r="K276" i="6"/>
  <c r="L275" i="6"/>
  <c r="K275" i="6"/>
  <c r="L274" i="6"/>
  <c r="K274" i="6"/>
  <c r="L273" i="6"/>
  <c r="K273" i="6"/>
  <c r="L272" i="6"/>
  <c r="K272" i="6"/>
  <c r="L271" i="6"/>
  <c r="K271" i="6"/>
  <c r="L270" i="6"/>
  <c r="K270" i="6"/>
  <c r="L269" i="6"/>
  <c r="K269" i="6"/>
  <c r="L268" i="6"/>
  <c r="K268" i="6"/>
  <c r="L267" i="6"/>
  <c r="K267" i="6"/>
  <c r="L266" i="6"/>
  <c r="K266" i="6"/>
  <c r="L265" i="6"/>
  <c r="K265" i="6"/>
  <c r="L264" i="6"/>
  <c r="K264" i="6"/>
  <c r="L263" i="6"/>
  <c r="K263" i="6"/>
  <c r="L262" i="6"/>
  <c r="K262" i="6"/>
  <c r="L261" i="6"/>
  <c r="K261" i="6"/>
  <c r="L260" i="6"/>
  <c r="K260" i="6"/>
  <c r="L259" i="6"/>
  <c r="K259" i="6"/>
  <c r="L258" i="6"/>
  <c r="K258" i="6"/>
  <c r="L257" i="6"/>
  <c r="K257" i="6"/>
  <c r="L256" i="6"/>
  <c r="K256" i="6"/>
  <c r="L255" i="6"/>
  <c r="K255" i="6"/>
  <c r="L254" i="6"/>
  <c r="K254" i="6"/>
  <c r="L253" i="6"/>
  <c r="K253" i="6"/>
  <c r="L252" i="6"/>
  <c r="K252" i="6"/>
  <c r="L251" i="6"/>
  <c r="K251" i="6"/>
  <c r="L250" i="6"/>
  <c r="K250" i="6"/>
  <c r="L249" i="6"/>
  <c r="K249" i="6"/>
  <c r="L248" i="6"/>
  <c r="K248" i="6"/>
  <c r="L247" i="6"/>
  <c r="K247" i="6"/>
  <c r="J246" i="6"/>
  <c r="I246" i="6"/>
  <c r="J245" i="6"/>
  <c r="I245" i="6"/>
  <c r="L245" i="6" s="1"/>
  <c r="H245" i="6"/>
  <c r="K244" i="6"/>
  <c r="I244" i="6"/>
  <c r="L244" i="6" s="1"/>
  <c r="L243" i="6"/>
  <c r="K243" i="6"/>
  <c r="I243" i="6"/>
  <c r="L242" i="6"/>
  <c r="K242" i="6"/>
  <c r="I242" i="6"/>
  <c r="L241" i="6"/>
  <c r="K241" i="6"/>
  <c r="L240" i="6"/>
  <c r="K240" i="6"/>
  <c r="L239" i="6"/>
  <c r="K239" i="6"/>
  <c r="L238" i="6"/>
  <c r="K238" i="6"/>
  <c r="L237" i="6"/>
  <c r="K237" i="6"/>
  <c r="L236" i="6"/>
  <c r="K236" i="6"/>
  <c r="L235" i="6"/>
  <c r="K235" i="6"/>
  <c r="L234" i="6"/>
  <c r="K234" i="6"/>
  <c r="L233" i="6"/>
  <c r="K233" i="6"/>
  <c r="L232" i="6"/>
  <c r="K232" i="6"/>
  <c r="K231" i="6"/>
  <c r="I231" i="6"/>
  <c r="L231" i="6" s="1"/>
  <c r="K230" i="6"/>
  <c r="I230" i="6"/>
  <c r="L230" i="6" s="1"/>
  <c r="L229" i="6"/>
  <c r="K229" i="6"/>
  <c r="I229" i="6"/>
  <c r="L228" i="6"/>
  <c r="K228" i="6"/>
  <c r="I228" i="6"/>
  <c r="K227" i="6"/>
  <c r="I227" i="6"/>
  <c r="L227" i="6" s="1"/>
  <c r="L226" i="6"/>
  <c r="K226" i="6"/>
  <c r="L225" i="6"/>
  <c r="K225" i="6"/>
  <c r="L224" i="6"/>
  <c r="K224" i="6"/>
  <c r="L223" i="6"/>
  <c r="K223" i="6"/>
  <c r="L222" i="6"/>
  <c r="K222" i="6"/>
  <c r="L221" i="6"/>
  <c r="K221" i="6"/>
  <c r="L220" i="6"/>
  <c r="K220" i="6"/>
  <c r="L219" i="6"/>
  <c r="K219" i="6"/>
  <c r="L218" i="6"/>
  <c r="K218" i="6"/>
  <c r="L217" i="6"/>
  <c r="K217" i="6"/>
  <c r="L216" i="6"/>
  <c r="K216" i="6"/>
  <c r="L215" i="6"/>
  <c r="K215" i="6"/>
  <c r="L214" i="6"/>
  <c r="K214" i="6"/>
  <c r="L213" i="6"/>
  <c r="K213" i="6"/>
  <c r="L212" i="6"/>
  <c r="K212" i="6"/>
  <c r="L211" i="6"/>
  <c r="K211" i="6"/>
  <c r="L210" i="6"/>
  <c r="K210" i="6"/>
  <c r="L209" i="6"/>
  <c r="K209" i="6"/>
  <c r="L208" i="6"/>
  <c r="K208" i="6"/>
  <c r="L207" i="6"/>
  <c r="K207" i="6"/>
  <c r="K206" i="6"/>
  <c r="I206" i="6"/>
  <c r="L206" i="6" s="1"/>
  <c r="K205" i="6"/>
  <c r="I205" i="6"/>
  <c r="L205" i="6" s="1"/>
  <c r="K204" i="6"/>
  <c r="I204" i="6"/>
  <c r="L204" i="6" s="1"/>
  <c r="K203" i="6"/>
  <c r="I203" i="6"/>
  <c r="L203" i="6" s="1"/>
  <c r="K202" i="6"/>
  <c r="I202" i="6"/>
  <c r="L202" i="6" s="1"/>
  <c r="L201" i="6"/>
  <c r="K201" i="6"/>
  <c r="L200" i="6"/>
  <c r="K200" i="6"/>
  <c r="L199" i="6"/>
  <c r="K199" i="6"/>
  <c r="L198" i="6"/>
  <c r="K198" i="6"/>
  <c r="L197" i="6"/>
  <c r="K197" i="6"/>
  <c r="L196" i="6"/>
  <c r="K196" i="6"/>
  <c r="L195" i="6"/>
  <c r="K195" i="6"/>
  <c r="L194" i="6"/>
  <c r="K194" i="6"/>
  <c r="L193" i="6"/>
  <c r="K193" i="6"/>
  <c r="L192" i="6"/>
  <c r="K192" i="6"/>
  <c r="L191" i="6"/>
  <c r="K191" i="6"/>
  <c r="L190" i="6"/>
  <c r="K190" i="6"/>
  <c r="L189" i="6"/>
  <c r="K189" i="6"/>
  <c r="L188" i="6"/>
  <c r="K188" i="6"/>
  <c r="L187" i="6"/>
  <c r="K187" i="6"/>
  <c r="L186" i="6"/>
  <c r="K186" i="6"/>
  <c r="L185" i="6"/>
  <c r="K185" i="6"/>
  <c r="L184" i="6"/>
  <c r="K184" i="6"/>
  <c r="L183" i="6"/>
  <c r="K183" i="6"/>
  <c r="L182" i="6"/>
  <c r="K182" i="6"/>
  <c r="L181" i="6"/>
  <c r="K181" i="6"/>
  <c r="I181" i="6"/>
  <c r="L180" i="6"/>
  <c r="K180" i="6"/>
  <c r="I180" i="6"/>
  <c r="L179" i="6"/>
  <c r="K179" i="6"/>
  <c r="L178" i="6"/>
  <c r="K178" i="6"/>
  <c r="L177" i="6"/>
  <c r="K177" i="6"/>
  <c r="L176" i="6"/>
  <c r="K176" i="6"/>
  <c r="L175" i="6"/>
  <c r="K175" i="6"/>
  <c r="L174" i="6"/>
  <c r="K174" i="6"/>
  <c r="L173" i="6"/>
  <c r="K173" i="6"/>
  <c r="L172" i="6"/>
  <c r="K172" i="6"/>
  <c r="L171" i="6"/>
  <c r="K171" i="6"/>
  <c r="L170" i="6"/>
  <c r="K170" i="6"/>
  <c r="L169" i="6"/>
  <c r="K169" i="6"/>
  <c r="L168" i="6"/>
  <c r="K168" i="6"/>
  <c r="L167" i="6"/>
  <c r="K167" i="6"/>
  <c r="L166" i="6"/>
  <c r="K166" i="6"/>
  <c r="L165" i="6"/>
  <c r="K165" i="6"/>
  <c r="L164" i="6"/>
  <c r="K164" i="6"/>
  <c r="L163" i="6"/>
  <c r="K163" i="6"/>
  <c r="L162" i="6"/>
  <c r="K162" i="6"/>
  <c r="L161" i="6"/>
  <c r="K161" i="6"/>
  <c r="L160" i="6"/>
  <c r="K160" i="6"/>
  <c r="L159" i="6"/>
  <c r="K159" i="6"/>
  <c r="L158" i="6"/>
  <c r="K158" i="6"/>
  <c r="L157" i="6"/>
  <c r="K157" i="6"/>
  <c r="L156" i="6"/>
  <c r="K156" i="6"/>
  <c r="L155" i="6"/>
  <c r="K155" i="6"/>
  <c r="L154" i="6"/>
  <c r="K154" i="6"/>
  <c r="L153" i="6"/>
  <c r="K153" i="6"/>
  <c r="L152" i="6"/>
  <c r="K152" i="6"/>
  <c r="L151" i="6"/>
  <c r="K151" i="6"/>
  <c r="L150" i="6"/>
  <c r="K150" i="6"/>
  <c r="L149" i="6"/>
  <c r="K149" i="6"/>
  <c r="L148" i="6"/>
  <c r="K148" i="6"/>
  <c r="L147" i="6"/>
  <c r="K147" i="6"/>
  <c r="L146" i="6"/>
  <c r="K146" i="6"/>
  <c r="L145" i="6"/>
  <c r="K145" i="6"/>
  <c r="L144" i="6"/>
  <c r="K144" i="6"/>
  <c r="L143" i="6"/>
  <c r="K143" i="6"/>
  <c r="L142" i="6"/>
  <c r="K142" i="6"/>
  <c r="L141" i="6"/>
  <c r="K141" i="6"/>
  <c r="L140" i="6"/>
  <c r="K140" i="6"/>
  <c r="L139" i="6"/>
  <c r="K139" i="6"/>
  <c r="L138" i="6"/>
  <c r="K138" i="6"/>
  <c r="L137" i="6"/>
  <c r="K137" i="6"/>
  <c r="L136" i="6"/>
  <c r="K136" i="6"/>
  <c r="L135" i="6"/>
  <c r="K135" i="6"/>
  <c r="L134" i="6"/>
  <c r="K134" i="6"/>
  <c r="L133" i="6"/>
  <c r="K133" i="6"/>
  <c r="L132" i="6"/>
  <c r="K132" i="6"/>
  <c r="L131" i="6"/>
  <c r="K131" i="6"/>
  <c r="L130" i="6"/>
  <c r="K130" i="6"/>
  <c r="L129" i="6"/>
  <c r="K129" i="6"/>
  <c r="L128" i="6"/>
  <c r="K128" i="6"/>
  <c r="L127" i="6"/>
  <c r="K127" i="6"/>
  <c r="L126" i="6"/>
  <c r="K126" i="6"/>
  <c r="L125" i="6"/>
  <c r="K125" i="6"/>
  <c r="L124" i="6"/>
  <c r="K124" i="6"/>
  <c r="L123" i="6"/>
  <c r="K123" i="6"/>
  <c r="L122" i="6"/>
  <c r="K122" i="6"/>
  <c r="K121" i="6"/>
  <c r="I121" i="6"/>
  <c r="L121" i="6" s="1"/>
  <c r="L120" i="6"/>
  <c r="K120" i="6"/>
  <c r="L119" i="6"/>
  <c r="K119" i="6"/>
  <c r="L118" i="6"/>
  <c r="K118" i="6"/>
  <c r="L117" i="6"/>
  <c r="K117" i="6"/>
  <c r="L116" i="6"/>
  <c r="K116" i="6"/>
  <c r="L115" i="6"/>
  <c r="K115" i="6"/>
  <c r="L114" i="6"/>
  <c r="K114" i="6"/>
  <c r="L113" i="6"/>
  <c r="K113" i="6"/>
  <c r="L112" i="6"/>
  <c r="K112" i="6"/>
  <c r="L111" i="6"/>
  <c r="K111" i="6"/>
  <c r="L110" i="6"/>
  <c r="K110" i="6"/>
  <c r="L109" i="6"/>
  <c r="K109" i="6"/>
  <c r="L108" i="6"/>
  <c r="K108" i="6"/>
  <c r="L107" i="6"/>
  <c r="K107" i="6"/>
  <c r="L106" i="6"/>
  <c r="K106" i="6"/>
  <c r="L105" i="6"/>
  <c r="K105" i="6"/>
  <c r="L104" i="6"/>
  <c r="K104" i="6"/>
  <c r="L103" i="6"/>
  <c r="K103" i="6"/>
  <c r="L102" i="6"/>
  <c r="K102" i="6"/>
  <c r="L101" i="6"/>
  <c r="K101" i="6"/>
  <c r="L100" i="6"/>
  <c r="K100" i="6"/>
  <c r="L99" i="6"/>
  <c r="K99" i="6"/>
  <c r="L98" i="6"/>
  <c r="K98" i="6"/>
  <c r="L97" i="6"/>
  <c r="K97" i="6"/>
  <c r="L96" i="6"/>
  <c r="K96" i="6"/>
  <c r="L95" i="6"/>
  <c r="K95" i="6"/>
  <c r="L94" i="6"/>
  <c r="K94" i="6"/>
  <c r="L93" i="6"/>
  <c r="K93" i="6"/>
  <c r="L92" i="6"/>
  <c r="K92" i="6"/>
  <c r="L91" i="6"/>
  <c r="K91" i="6"/>
  <c r="L90" i="6"/>
  <c r="K90" i="6"/>
  <c r="L89" i="6"/>
  <c r="K89" i="6"/>
  <c r="L88" i="6"/>
  <c r="K88" i="6"/>
  <c r="L87" i="6"/>
  <c r="K87" i="6"/>
  <c r="L86" i="6"/>
  <c r="K86" i="6"/>
  <c r="L85" i="6"/>
  <c r="K85" i="6"/>
  <c r="L84" i="6"/>
  <c r="K84" i="6"/>
  <c r="L83" i="6"/>
  <c r="K83" i="6"/>
  <c r="L82" i="6"/>
  <c r="K82" i="6"/>
  <c r="L81" i="6"/>
  <c r="K81" i="6"/>
  <c r="L80" i="6"/>
  <c r="K80" i="6"/>
  <c r="L79" i="6"/>
  <c r="K79" i="6"/>
  <c r="L78" i="6"/>
  <c r="K78" i="6"/>
  <c r="L77" i="6"/>
  <c r="K77" i="6"/>
  <c r="L76" i="6"/>
  <c r="K76" i="6"/>
  <c r="L75" i="6"/>
  <c r="K75" i="6"/>
  <c r="L74" i="6"/>
  <c r="K74" i="6"/>
  <c r="L73" i="6"/>
  <c r="K73" i="6"/>
  <c r="L72" i="6"/>
  <c r="K72" i="6"/>
  <c r="L71" i="6"/>
  <c r="K71" i="6"/>
  <c r="L70" i="6"/>
  <c r="K70" i="6"/>
  <c r="L69" i="6"/>
  <c r="K69" i="6"/>
  <c r="L68" i="6"/>
  <c r="K68" i="6"/>
  <c r="L67" i="6"/>
  <c r="K67" i="6"/>
  <c r="K66" i="6"/>
  <c r="I66" i="6"/>
  <c r="L66" i="6" s="1"/>
  <c r="K65" i="6"/>
  <c r="I65" i="6"/>
  <c r="L65" i="6" s="1"/>
  <c r="K64" i="6"/>
  <c r="I64" i="6"/>
  <c r="L64" i="6" s="1"/>
  <c r="K63" i="6"/>
  <c r="I63" i="6"/>
  <c r="L63" i="6" s="1"/>
  <c r="K62" i="6"/>
  <c r="I62" i="6"/>
  <c r="L62" i="6" s="1"/>
  <c r="L61" i="6"/>
  <c r="K61" i="6"/>
  <c r="L60" i="6"/>
  <c r="K60" i="6"/>
  <c r="L59" i="6"/>
  <c r="K59" i="6"/>
  <c r="L58" i="6"/>
  <c r="K58" i="6"/>
  <c r="L57" i="6"/>
  <c r="K57" i="6"/>
  <c r="L56" i="6"/>
  <c r="K56" i="6"/>
  <c r="L55" i="6"/>
  <c r="K55" i="6"/>
  <c r="L54" i="6"/>
  <c r="K54" i="6"/>
  <c r="L53" i="6"/>
  <c r="K53" i="6"/>
  <c r="L52" i="6"/>
  <c r="K52" i="6"/>
  <c r="L51" i="6"/>
  <c r="K51" i="6"/>
  <c r="L50" i="6"/>
  <c r="K50" i="6"/>
  <c r="L49" i="6"/>
  <c r="K49" i="6"/>
  <c r="L48" i="6"/>
  <c r="K48" i="6"/>
  <c r="L47" i="6"/>
  <c r="K47" i="6"/>
  <c r="L46" i="6"/>
  <c r="K46" i="6"/>
  <c r="L45" i="6"/>
  <c r="K45" i="6"/>
  <c r="L44" i="6"/>
  <c r="K44" i="6"/>
  <c r="L43" i="6"/>
  <c r="K43" i="6"/>
  <c r="L42" i="6"/>
  <c r="K42" i="6"/>
  <c r="K41" i="6"/>
  <c r="J41" i="6"/>
  <c r="I41" i="6"/>
  <c r="L41" i="6" s="1"/>
  <c r="J40" i="6"/>
  <c r="I40" i="6"/>
  <c r="K39" i="6"/>
  <c r="J39" i="6"/>
  <c r="I39" i="6"/>
  <c r="L39" i="6" s="1"/>
  <c r="J38" i="6"/>
  <c r="I38" i="6"/>
  <c r="L37" i="6"/>
  <c r="K37" i="6"/>
  <c r="J37" i="6"/>
  <c r="I37" i="6"/>
  <c r="L36" i="6"/>
  <c r="K36" i="6"/>
  <c r="I36" i="6"/>
  <c r="K35" i="6"/>
  <c r="I35" i="6"/>
  <c r="L35" i="6" s="1"/>
  <c r="L34" i="6"/>
  <c r="K34" i="6"/>
  <c r="L33" i="6"/>
  <c r="K33" i="6"/>
  <c r="L32" i="6"/>
  <c r="K32" i="6"/>
  <c r="L31" i="6"/>
  <c r="K31" i="6"/>
  <c r="I31" i="6"/>
  <c r="L30" i="6"/>
  <c r="K30" i="6"/>
  <c r="I30" i="6"/>
  <c r="K29" i="6"/>
  <c r="I29" i="6"/>
  <c r="L29" i="6" s="1"/>
  <c r="L28" i="6"/>
  <c r="K28" i="6"/>
  <c r="L27" i="6"/>
  <c r="K27" i="6"/>
  <c r="I27" i="6"/>
  <c r="L26" i="6"/>
  <c r="K26" i="6"/>
  <c r="L25" i="6"/>
  <c r="K25" i="6"/>
  <c r="L24" i="6"/>
  <c r="K24" i="6"/>
  <c r="L23" i="6"/>
  <c r="K23" i="6"/>
  <c r="L22" i="6"/>
  <c r="K22" i="6"/>
  <c r="L21" i="6"/>
  <c r="K21" i="6"/>
  <c r="I21" i="6"/>
  <c r="L20" i="6"/>
  <c r="K20" i="6"/>
  <c r="I20" i="6"/>
  <c r="K19" i="6"/>
  <c r="I19" i="6"/>
  <c r="L19" i="6" s="1"/>
  <c r="K18" i="6"/>
  <c r="I18" i="6"/>
  <c r="L18" i="6" s="1"/>
  <c r="K17" i="6"/>
  <c r="I17" i="6"/>
  <c r="L17" i="6" s="1"/>
  <c r="L16" i="6"/>
  <c r="K16" i="6"/>
  <c r="L15" i="6"/>
  <c r="K15" i="6"/>
  <c r="L14" i="6"/>
  <c r="K14" i="6"/>
  <c r="L13" i="6"/>
  <c r="K13" i="6"/>
  <c r="L12" i="6"/>
  <c r="K12" i="6"/>
  <c r="L11" i="6"/>
  <c r="K11" i="6"/>
  <c r="L10" i="6"/>
  <c r="K10" i="6"/>
  <c r="L9" i="6"/>
  <c r="K9" i="6"/>
  <c r="L8" i="6"/>
  <c r="K8" i="6"/>
  <c r="L7" i="6"/>
  <c r="K7" i="6"/>
  <c r="L6" i="6"/>
  <c r="K6" i="6"/>
  <c r="L5" i="6"/>
  <c r="K5" i="6"/>
  <c r="L4" i="6"/>
  <c r="K4" i="6"/>
  <c r="L3" i="6"/>
  <c r="K3" i="6"/>
  <c r="L2" i="6"/>
  <c r="K2" i="6"/>
  <c r="K39" i="2"/>
  <c r="H39" i="2"/>
  <c r="G39" i="2"/>
  <c r="K31" i="2"/>
  <c r="H31" i="2"/>
  <c r="G31" i="2"/>
  <c r="G2" i="2"/>
  <c r="N102" i="1"/>
  <c r="M102" i="1"/>
  <c r="L102" i="1"/>
  <c r="K102" i="1"/>
  <c r="AX101" i="1" a="1"/>
  <c r="AX101" i="1" s="1"/>
  <c r="AW101" i="1" a="1"/>
  <c r="AW101" i="1"/>
  <c r="AV101" i="1" a="1"/>
  <c r="AV101" i="1"/>
  <c r="AU101" i="1" a="1"/>
  <c r="AU101" i="1"/>
  <c r="AT101" i="1" a="1"/>
  <c r="AT101" i="1" s="1"/>
  <c r="AS101" i="1" a="1"/>
  <c r="AS101" i="1" s="1"/>
  <c r="AR101" i="1" a="1"/>
  <c r="AR101" i="1"/>
  <c r="AQ101" i="1" a="1"/>
  <c r="AQ101" i="1" s="1"/>
  <c r="AP101" i="1" a="1"/>
  <c r="AP101" i="1" s="1"/>
  <c r="AO101" i="1" a="1"/>
  <c r="AO101" i="1"/>
  <c r="J101" i="1"/>
  <c r="I101" i="1"/>
  <c r="H101" i="1"/>
  <c r="G101" i="1"/>
  <c r="AX100" i="1" a="1"/>
  <c r="AX100" i="1" s="1"/>
  <c r="AW100" i="1" a="1"/>
  <c r="AW100" i="1"/>
  <c r="AV100" i="1" a="1"/>
  <c r="AV100" i="1" s="1"/>
  <c r="AU100" i="1" a="1"/>
  <c r="AU100" i="1" s="1"/>
  <c r="AT100" i="1" a="1"/>
  <c r="AT100" i="1" s="1"/>
  <c r="AS100" i="1" a="1"/>
  <c r="AS100" i="1"/>
  <c r="AR100" i="1" a="1"/>
  <c r="AR100" i="1" s="1"/>
  <c r="AQ100" i="1" a="1"/>
  <c r="AQ100" i="1"/>
  <c r="AP100" i="1" a="1"/>
  <c r="AP100" i="1" s="1"/>
  <c r="AO100" i="1" a="1"/>
  <c r="AO100" i="1" s="1"/>
  <c r="AX99" i="1" a="1"/>
  <c r="AX99" i="1"/>
  <c r="AW99" i="1" a="1"/>
  <c r="AW99" i="1" s="1"/>
  <c r="AV99" i="1" a="1"/>
  <c r="AV99" i="1" s="1"/>
  <c r="AU99" i="1" a="1"/>
  <c r="AU99" i="1"/>
  <c r="AT99" i="1" a="1"/>
  <c r="AT99" i="1"/>
  <c r="AS99" i="1" a="1"/>
  <c r="AS99" i="1"/>
  <c r="AR99" i="1" a="1"/>
  <c r="AR99" i="1" s="1"/>
  <c r="AQ99" i="1" a="1"/>
  <c r="AQ99" i="1"/>
  <c r="AP99" i="1" a="1"/>
  <c r="AP99" i="1" s="1"/>
  <c r="AO99" i="1" a="1"/>
  <c r="AO99" i="1"/>
  <c r="AX98" i="1" a="1"/>
  <c r="AX98" i="1" s="1"/>
  <c r="AW98" i="1" a="1"/>
  <c r="AW98" i="1"/>
  <c r="AV98" i="1" a="1"/>
  <c r="AV98" i="1"/>
  <c r="AU98" i="1" a="1"/>
  <c r="AU98" i="1"/>
  <c r="AT98" i="1" a="1"/>
  <c r="AT98" i="1" s="1"/>
  <c r="AS98" i="1" a="1"/>
  <c r="AS98" i="1" s="1"/>
  <c r="AR98" i="1" a="1"/>
  <c r="AR98" i="1"/>
  <c r="AQ98" i="1" a="1"/>
  <c r="AQ98" i="1" s="1"/>
  <c r="AP98" i="1" a="1"/>
  <c r="AP98" i="1" s="1"/>
  <c r="AO98" i="1" a="1"/>
  <c r="AO98" i="1"/>
  <c r="X98" i="1"/>
  <c r="J98" i="1"/>
  <c r="F98" i="1"/>
  <c r="AX97" i="1" a="1"/>
  <c r="AX97" i="1" s="1"/>
  <c r="AW97" i="1" a="1"/>
  <c r="AW97" i="1"/>
  <c r="AV97" i="1" a="1"/>
  <c r="AV97" i="1" s="1"/>
  <c r="AU97" i="1" a="1"/>
  <c r="AU97" i="1" s="1"/>
  <c r="AT97" i="1" a="1"/>
  <c r="AT97" i="1" s="1"/>
  <c r="AS97" i="1" a="1"/>
  <c r="AS97" i="1"/>
  <c r="AR97" i="1" a="1"/>
  <c r="AR97" i="1" s="1"/>
  <c r="AQ97" i="1" a="1"/>
  <c r="AQ97" i="1" s="1"/>
  <c r="AP97" i="1" a="1"/>
  <c r="AP97" i="1" s="1"/>
  <c r="AO97" i="1" a="1"/>
  <c r="AO97" i="1"/>
  <c r="J97" i="1"/>
  <c r="I97" i="1"/>
  <c r="H97" i="1"/>
  <c r="G97" i="1"/>
  <c r="F97" i="1"/>
  <c r="AX96" i="1" a="1"/>
  <c r="AX96" i="1" s="1"/>
  <c r="AW96" i="1" a="1"/>
  <c r="AW96" i="1"/>
  <c r="AV96" i="1" a="1"/>
  <c r="AV96" i="1" s="1"/>
  <c r="AU96" i="1" a="1"/>
  <c r="AU96" i="1" s="1"/>
  <c r="AT96" i="1" a="1"/>
  <c r="AT96" i="1" s="1"/>
  <c r="AS96" i="1" a="1"/>
  <c r="AS96" i="1"/>
  <c r="AR96" i="1" a="1"/>
  <c r="AR96" i="1" s="1"/>
  <c r="AQ96" i="1" a="1"/>
  <c r="AQ96" i="1"/>
  <c r="AP96" i="1" a="1"/>
  <c r="AP96" i="1" s="1"/>
  <c r="AO96" i="1" a="1"/>
  <c r="AO96" i="1"/>
  <c r="J96" i="1"/>
  <c r="I96" i="1"/>
  <c r="H96" i="1"/>
  <c r="G96" i="1"/>
  <c r="F96" i="1"/>
  <c r="AX95" i="1" a="1"/>
  <c r="AX95" i="1"/>
  <c r="AW95" i="1" a="1"/>
  <c r="AW95" i="1"/>
  <c r="AV95" i="1" a="1"/>
  <c r="AV95" i="1"/>
  <c r="AU95" i="1" a="1"/>
  <c r="AU95" i="1"/>
  <c r="AT95" i="1" a="1"/>
  <c r="AT95" i="1"/>
  <c r="AS95" i="1" a="1"/>
  <c r="AS95" i="1"/>
  <c r="AR95" i="1" a="1"/>
  <c r="AR95" i="1"/>
  <c r="AQ95" i="1" a="1"/>
  <c r="AQ95" i="1"/>
  <c r="AP95" i="1" a="1"/>
  <c r="AP95" i="1"/>
  <c r="AO95" i="1" a="1"/>
  <c r="AO95" i="1"/>
  <c r="Y95" i="1"/>
  <c r="X95" i="1"/>
  <c r="W95" i="1"/>
  <c r="AX94" i="1" a="1"/>
  <c r="AX94" i="1" s="1"/>
  <c r="AW94" i="1" a="1"/>
  <c r="AW94" i="1"/>
  <c r="AV94" i="1" a="1"/>
  <c r="AV94" i="1" s="1"/>
  <c r="AU94" i="1" a="1"/>
  <c r="AU94" i="1" s="1"/>
  <c r="AT94" i="1" a="1"/>
  <c r="AT94" i="1" s="1"/>
  <c r="AS94" i="1" a="1"/>
  <c r="AS94" i="1"/>
  <c r="AR94" i="1" a="1"/>
  <c r="AR94" i="1" s="1"/>
  <c r="AQ94" i="1" a="1"/>
  <c r="AQ94" i="1"/>
  <c r="AP94" i="1" a="1"/>
  <c r="AP94" i="1" s="1"/>
  <c r="AO94" i="1" a="1"/>
  <c r="AO94" i="1"/>
  <c r="AX93" i="1" a="1"/>
  <c r="AX93" i="1" s="1"/>
  <c r="AW93" i="1" a="1"/>
  <c r="AW93" i="1"/>
  <c r="AV93" i="1" a="1"/>
  <c r="AV93" i="1" s="1"/>
  <c r="AU93" i="1" a="1"/>
  <c r="AU93" i="1"/>
  <c r="AT93" i="1" a="1"/>
  <c r="AT93" i="1" s="1"/>
  <c r="AS93" i="1" a="1"/>
  <c r="AS93" i="1"/>
  <c r="AR93" i="1" a="1"/>
  <c r="AR93" i="1" s="1"/>
  <c r="AQ93" i="1" a="1"/>
  <c r="AQ93" i="1"/>
  <c r="AP93" i="1" a="1"/>
  <c r="AP93" i="1" s="1"/>
  <c r="AO93" i="1" a="1"/>
  <c r="AO93" i="1" s="1"/>
  <c r="X93" i="1"/>
  <c r="V93" i="1"/>
  <c r="U93" i="1"/>
  <c r="AX92" i="1" a="1"/>
  <c r="AX92" i="1" s="1"/>
  <c r="AW92" i="1" a="1"/>
  <c r="AW92" i="1"/>
  <c r="AV92" i="1" a="1"/>
  <c r="AV92" i="1" s="1"/>
  <c r="AU92" i="1" a="1"/>
  <c r="AU92" i="1"/>
  <c r="AT92" i="1" a="1"/>
  <c r="AT92" i="1" s="1"/>
  <c r="AS92" i="1" a="1"/>
  <c r="AS92" i="1"/>
  <c r="AR92" i="1" a="1"/>
  <c r="AR92" i="1" s="1"/>
  <c r="AQ92" i="1" a="1"/>
  <c r="AQ92" i="1"/>
  <c r="AP92" i="1" a="1"/>
  <c r="AP92" i="1" s="1"/>
  <c r="AO92" i="1" a="1"/>
  <c r="AO92" i="1"/>
  <c r="W92" i="1"/>
  <c r="U92" i="1"/>
  <c r="AX91" i="1" a="1"/>
  <c r="AX91" i="1"/>
  <c r="AW91" i="1" a="1"/>
  <c r="AW91" i="1" s="1"/>
  <c r="AV91" i="1" a="1"/>
  <c r="AV91" i="1"/>
  <c r="AU91" i="1" a="1"/>
  <c r="AU91" i="1" s="1"/>
  <c r="AT91" i="1" a="1"/>
  <c r="AT91" i="1"/>
  <c r="AS91" i="1" a="1"/>
  <c r="AS91" i="1" s="1"/>
  <c r="AR91" i="1" a="1"/>
  <c r="AR91" i="1"/>
  <c r="AQ91" i="1" a="1"/>
  <c r="AQ91" i="1" s="1"/>
  <c r="AP91" i="1" a="1"/>
  <c r="AP91" i="1"/>
  <c r="AO91" i="1" a="1"/>
  <c r="AO91" i="1" s="1"/>
  <c r="Y91" i="1"/>
  <c r="AX90" i="1" a="1"/>
  <c r="AX90" i="1"/>
  <c r="AW90" i="1" a="1"/>
  <c r="AW90" i="1" s="1"/>
  <c r="AV90" i="1" a="1"/>
  <c r="AV90" i="1"/>
  <c r="AU90" i="1" a="1"/>
  <c r="AU90" i="1" s="1"/>
  <c r="AT90" i="1" a="1"/>
  <c r="AT90" i="1"/>
  <c r="AS90" i="1" a="1"/>
  <c r="AS90" i="1" s="1"/>
  <c r="AR90" i="1" a="1"/>
  <c r="AR90" i="1"/>
  <c r="AQ90" i="1" a="1"/>
  <c r="AQ90" i="1" s="1"/>
  <c r="AP90" i="1" a="1"/>
  <c r="AP90" i="1"/>
  <c r="AO90" i="1" a="1"/>
  <c r="AO90" i="1" s="1"/>
  <c r="AX89" i="1" a="1"/>
  <c r="AX89" i="1"/>
  <c r="AW89" i="1" a="1"/>
  <c r="AW89" i="1" s="1"/>
  <c r="AV89" i="1" a="1"/>
  <c r="AV89" i="1"/>
  <c r="AU89" i="1" a="1"/>
  <c r="AU89" i="1" s="1"/>
  <c r="AT89" i="1" a="1"/>
  <c r="AT89" i="1"/>
  <c r="AS89" i="1" a="1"/>
  <c r="AS89" i="1" s="1"/>
  <c r="AR89" i="1" a="1"/>
  <c r="AR89" i="1"/>
  <c r="AQ89" i="1" a="1"/>
  <c r="AQ89" i="1" s="1"/>
  <c r="AP89" i="1" a="1"/>
  <c r="AP89" i="1"/>
  <c r="AO89" i="1" a="1"/>
  <c r="AO89" i="1" s="1"/>
  <c r="AX88" i="1" a="1"/>
  <c r="AX88" i="1"/>
  <c r="AW88" i="1" a="1"/>
  <c r="AW88" i="1" s="1"/>
  <c r="AV88" i="1" a="1"/>
  <c r="AV88" i="1"/>
  <c r="AU88" i="1" a="1"/>
  <c r="AU88" i="1" s="1"/>
  <c r="AT88" i="1" a="1"/>
  <c r="AT88" i="1"/>
  <c r="AS88" i="1" a="1"/>
  <c r="AS88" i="1" s="1"/>
  <c r="AR88" i="1" a="1"/>
  <c r="AR88" i="1"/>
  <c r="AQ88" i="1" a="1"/>
  <c r="AQ88" i="1" s="1"/>
  <c r="AP88" i="1" a="1"/>
  <c r="AP88" i="1"/>
  <c r="AO88" i="1" a="1"/>
  <c r="AO88" i="1" s="1"/>
  <c r="Y88" i="1"/>
  <c r="J88" i="1"/>
  <c r="I88" i="1"/>
  <c r="AX87" i="1" a="1"/>
  <c r="AX87" i="1"/>
  <c r="AW87" i="1" a="1"/>
  <c r="AW87" i="1"/>
  <c r="AV87" i="1" a="1"/>
  <c r="AV87" i="1"/>
  <c r="AU87" i="1" a="1"/>
  <c r="AU87" i="1"/>
  <c r="AT87" i="1" a="1"/>
  <c r="AT87" i="1"/>
  <c r="AS87" i="1" a="1"/>
  <c r="AS87" i="1"/>
  <c r="AR87" i="1" a="1"/>
  <c r="AR87" i="1"/>
  <c r="AQ87" i="1" a="1"/>
  <c r="AQ87" i="1"/>
  <c r="AP87" i="1" a="1"/>
  <c r="AP87" i="1"/>
  <c r="AO87" i="1" a="1"/>
  <c r="AO87" i="1"/>
  <c r="J87" i="1"/>
  <c r="I87" i="1"/>
  <c r="H87" i="1"/>
  <c r="G87" i="1"/>
  <c r="F87" i="1"/>
  <c r="AX86" i="1" a="1"/>
  <c r="AX86" i="1" s="1"/>
  <c r="AW86" i="1" a="1"/>
  <c r="AW86" i="1" s="1"/>
  <c r="AV86" i="1" a="1"/>
  <c r="AV86" i="1"/>
  <c r="AU86" i="1" a="1"/>
  <c r="AU86" i="1" s="1"/>
  <c r="AT86" i="1" a="1"/>
  <c r="AT86" i="1"/>
  <c r="AS86" i="1" a="1"/>
  <c r="AS86" i="1" s="1"/>
  <c r="AR86" i="1" a="1"/>
  <c r="AR86" i="1"/>
  <c r="AQ86" i="1" a="1"/>
  <c r="AQ86" i="1" s="1"/>
  <c r="AP86" i="1" a="1"/>
  <c r="AP86" i="1" s="1"/>
  <c r="AO86" i="1" a="1"/>
  <c r="AO86" i="1" s="1"/>
  <c r="W86" i="1"/>
  <c r="AX85" i="1" a="1"/>
  <c r="AX85" i="1" s="1"/>
  <c r="AW85" i="1" a="1"/>
  <c r="AW85" i="1"/>
  <c r="AV85" i="1" a="1"/>
  <c r="AV85" i="1" s="1"/>
  <c r="AU85" i="1" a="1"/>
  <c r="AU85" i="1"/>
  <c r="AT85" i="1" a="1"/>
  <c r="AT85" i="1" s="1"/>
  <c r="AS85" i="1" a="1"/>
  <c r="AS85" i="1"/>
  <c r="AR85" i="1" a="1"/>
  <c r="AR85" i="1" s="1"/>
  <c r="AQ85" i="1" a="1"/>
  <c r="AQ85" i="1"/>
  <c r="AP85" i="1" a="1"/>
  <c r="AP85" i="1" s="1"/>
  <c r="AO85" i="1" a="1"/>
  <c r="AO85" i="1"/>
  <c r="AX84" i="1" a="1"/>
  <c r="AX84" i="1" s="1"/>
  <c r="AW84" i="1" a="1"/>
  <c r="AW84" i="1"/>
  <c r="AV84" i="1" a="1"/>
  <c r="AV84" i="1" s="1"/>
  <c r="AU84" i="1" a="1"/>
  <c r="AU84" i="1"/>
  <c r="AT84" i="1" a="1"/>
  <c r="AT84" i="1" s="1"/>
  <c r="AS84" i="1" a="1"/>
  <c r="AS84" i="1"/>
  <c r="AR84" i="1" a="1"/>
  <c r="AR84" i="1" s="1"/>
  <c r="AQ84" i="1" a="1"/>
  <c r="AQ84" i="1"/>
  <c r="AP84" i="1" a="1"/>
  <c r="AP84" i="1" s="1"/>
  <c r="AO84" i="1" a="1"/>
  <c r="AO84" i="1"/>
  <c r="Y84" i="1"/>
  <c r="X84" i="1"/>
  <c r="W84" i="1"/>
  <c r="V84" i="1"/>
  <c r="BD83" i="1"/>
  <c r="AX83" i="1" a="1"/>
  <c r="AX83" i="1" s="1"/>
  <c r="AW83" i="1" a="1"/>
  <c r="AW83" i="1"/>
  <c r="AV83" i="1" a="1"/>
  <c r="AV83" i="1" s="1"/>
  <c r="AU83" i="1" a="1"/>
  <c r="AU83" i="1"/>
  <c r="AT83" i="1" a="1"/>
  <c r="AT83" i="1" s="1"/>
  <c r="AS83" i="1" a="1"/>
  <c r="AS83" i="1"/>
  <c r="AR83" i="1" a="1"/>
  <c r="AR83" i="1" s="1"/>
  <c r="AQ83" i="1" a="1"/>
  <c r="AQ83" i="1"/>
  <c r="AP83" i="1" a="1"/>
  <c r="AP83" i="1" s="1"/>
  <c r="AO83" i="1" a="1"/>
  <c r="AO83" i="1"/>
  <c r="V83" i="1"/>
  <c r="AX82" i="1" a="1"/>
  <c r="AX82" i="1"/>
  <c r="AW82" i="1" a="1"/>
  <c r="AW82" i="1"/>
  <c r="AV82" i="1" a="1"/>
  <c r="AV82" i="1"/>
  <c r="AU82" i="1" a="1"/>
  <c r="AU82" i="1"/>
  <c r="AT82" i="1" a="1"/>
  <c r="AT82" i="1"/>
  <c r="AS82" i="1" a="1"/>
  <c r="AS82" i="1"/>
  <c r="AR82" i="1" a="1"/>
  <c r="AR82" i="1"/>
  <c r="AQ82" i="1" a="1"/>
  <c r="AQ82" i="1"/>
  <c r="AP82" i="1" a="1"/>
  <c r="AP82" i="1"/>
  <c r="AO82" i="1" a="1"/>
  <c r="AO82" i="1"/>
  <c r="AX81" i="1" a="1"/>
  <c r="AX81" i="1" s="1"/>
  <c r="AW81" i="1" a="1"/>
  <c r="AW81" i="1"/>
  <c r="AV81" i="1" a="1"/>
  <c r="AV81" i="1"/>
  <c r="AU81" i="1" a="1"/>
  <c r="AU81" i="1"/>
  <c r="AT81" i="1" a="1"/>
  <c r="AT81" i="1" s="1"/>
  <c r="AS81" i="1" a="1"/>
  <c r="AS81" i="1"/>
  <c r="AR81" i="1" a="1"/>
  <c r="AR81" i="1"/>
  <c r="AQ81" i="1" a="1"/>
  <c r="AQ81" i="1"/>
  <c r="AP81" i="1" a="1"/>
  <c r="AP81" i="1" s="1"/>
  <c r="AO81" i="1" a="1"/>
  <c r="AO81" i="1" s="1"/>
  <c r="X81" i="1"/>
  <c r="J81" i="1"/>
  <c r="I81" i="1"/>
  <c r="H81" i="1"/>
  <c r="G81" i="1"/>
  <c r="F81" i="1"/>
  <c r="AX80" i="1" a="1"/>
  <c r="AX80" i="1" s="1"/>
  <c r="AW80" i="1" a="1"/>
  <c r="AW80" i="1"/>
  <c r="AV80" i="1" a="1"/>
  <c r="AV80" i="1" s="1"/>
  <c r="AU80" i="1" a="1"/>
  <c r="AU80" i="1" s="1"/>
  <c r="AT80" i="1" a="1"/>
  <c r="AT80" i="1"/>
  <c r="AS80" i="1" a="1"/>
  <c r="AS80" i="1"/>
  <c r="AR80" i="1" a="1"/>
  <c r="AR80" i="1" s="1"/>
  <c r="AQ80" i="1" a="1"/>
  <c r="AQ80" i="1" s="1"/>
  <c r="AP80" i="1" a="1"/>
  <c r="AP80" i="1"/>
  <c r="AO80" i="1" a="1"/>
  <c r="AO80" i="1"/>
  <c r="J80" i="1"/>
  <c r="I80" i="1"/>
  <c r="H80" i="1"/>
  <c r="G80" i="1"/>
  <c r="F80" i="1"/>
  <c r="AX79" i="1" a="1"/>
  <c r="AX79" i="1" s="1"/>
  <c r="AW79" i="1" a="1"/>
  <c r="AW79" i="1" s="1"/>
  <c r="AV79" i="1" a="1"/>
  <c r="AV79" i="1" s="1"/>
  <c r="AU79" i="1" a="1"/>
  <c r="AU79" i="1"/>
  <c r="AT79" i="1" a="1"/>
  <c r="AT79" i="1" s="1"/>
  <c r="AS79" i="1" a="1"/>
  <c r="AS79" i="1" s="1"/>
  <c r="AR79" i="1" a="1"/>
  <c r="AR79" i="1" s="1"/>
  <c r="AQ79" i="1" a="1"/>
  <c r="AQ79" i="1"/>
  <c r="AP79" i="1" a="1"/>
  <c r="AP79" i="1" s="1"/>
  <c r="AO79" i="1" a="1"/>
  <c r="AO79" i="1" s="1"/>
  <c r="Y79" i="1"/>
  <c r="X79" i="1"/>
  <c r="V79" i="1"/>
  <c r="AX78" i="1" a="1"/>
  <c r="AX78" i="1"/>
  <c r="AW78" i="1" a="1"/>
  <c r="AW78" i="1"/>
  <c r="AV78" i="1" a="1"/>
  <c r="AV78" i="1"/>
  <c r="AU78" i="1" a="1"/>
  <c r="AU78" i="1" s="1"/>
  <c r="AT78" i="1" a="1"/>
  <c r="AT78" i="1" s="1"/>
  <c r="AS78" i="1" a="1"/>
  <c r="AS78" i="1"/>
  <c r="AR78" i="1" a="1"/>
  <c r="AR78" i="1" s="1"/>
  <c r="AQ78" i="1" a="1"/>
  <c r="AQ78" i="1" s="1"/>
  <c r="AP78" i="1" a="1"/>
  <c r="AP78" i="1"/>
  <c r="AO78" i="1" a="1"/>
  <c r="AO78" i="1"/>
  <c r="AX77" i="1" a="1"/>
  <c r="AX77" i="1"/>
  <c r="AW77" i="1" a="1"/>
  <c r="AW77" i="1" s="1"/>
  <c r="AV77" i="1" a="1"/>
  <c r="AV77" i="1"/>
  <c r="AU77" i="1" a="1"/>
  <c r="AU77" i="1"/>
  <c r="AT77" i="1" a="1"/>
  <c r="AT77" i="1"/>
  <c r="AS77" i="1" a="1"/>
  <c r="AS77" i="1" s="1"/>
  <c r="AR77" i="1" a="1"/>
  <c r="AR77" i="1"/>
  <c r="AQ77" i="1" a="1"/>
  <c r="AQ77" i="1"/>
  <c r="AP77" i="1" a="1"/>
  <c r="AP77" i="1"/>
  <c r="AO77" i="1" a="1"/>
  <c r="AO77" i="1" s="1"/>
  <c r="J77" i="1"/>
  <c r="I77" i="1"/>
  <c r="H77" i="1"/>
  <c r="G77" i="1"/>
  <c r="F77" i="1"/>
  <c r="AX76" i="1" a="1"/>
  <c r="AX76" i="1" s="1"/>
  <c r="AW76" i="1" a="1"/>
  <c r="AW76" i="1"/>
  <c r="AV76" i="1" a="1"/>
  <c r="AV76" i="1" s="1"/>
  <c r="AU76" i="1" a="1"/>
  <c r="AU76" i="1"/>
  <c r="AT76" i="1" a="1"/>
  <c r="AT76" i="1" s="1"/>
  <c r="AS76" i="1" a="1"/>
  <c r="AS76" i="1"/>
  <c r="AR76" i="1" a="1"/>
  <c r="AR76" i="1" s="1"/>
  <c r="AQ76" i="1" a="1"/>
  <c r="AQ76" i="1"/>
  <c r="AP76" i="1" a="1"/>
  <c r="AP76" i="1" s="1"/>
  <c r="AO76" i="1" a="1"/>
  <c r="AO76" i="1"/>
  <c r="Y76" i="1"/>
  <c r="X76" i="1"/>
  <c r="W76" i="1"/>
  <c r="V76" i="1"/>
  <c r="U76" i="1"/>
  <c r="AX75" i="1" a="1"/>
  <c r="AX75" i="1" s="1"/>
  <c r="AW75" i="1" a="1"/>
  <c r="AW75" i="1"/>
  <c r="AV75" i="1" a="1"/>
  <c r="AV75" i="1"/>
  <c r="AU75" i="1" a="1"/>
  <c r="AU75" i="1"/>
  <c r="AT75" i="1" a="1"/>
  <c r="AT75" i="1" s="1"/>
  <c r="AS75" i="1" a="1"/>
  <c r="AS75" i="1"/>
  <c r="AR75" i="1" a="1"/>
  <c r="AR75" i="1"/>
  <c r="AQ75" i="1" a="1"/>
  <c r="AQ75" i="1"/>
  <c r="AP75" i="1" a="1"/>
  <c r="AP75" i="1" s="1"/>
  <c r="AO75" i="1" a="1"/>
  <c r="AO75" i="1" s="1"/>
  <c r="AX74" i="1" a="1"/>
  <c r="AX74" i="1"/>
  <c r="AW74" i="1" a="1"/>
  <c r="AW74" i="1" s="1"/>
  <c r="AV74" i="1" a="1"/>
  <c r="AV74" i="1" s="1"/>
  <c r="AU74" i="1" a="1"/>
  <c r="AU74" i="1"/>
  <c r="AT74" i="1" a="1"/>
  <c r="AT74" i="1"/>
  <c r="AS74" i="1" a="1"/>
  <c r="AS74" i="1"/>
  <c r="AR74" i="1" a="1"/>
  <c r="AR74" i="1" s="1"/>
  <c r="AQ74" i="1" a="1"/>
  <c r="AQ74" i="1"/>
  <c r="AP74" i="1" a="1"/>
  <c r="AP74" i="1"/>
  <c r="AO74" i="1" a="1"/>
  <c r="AO74" i="1"/>
  <c r="AX73" i="1" a="1"/>
  <c r="AX73" i="1" s="1"/>
  <c r="AW73" i="1" a="1"/>
  <c r="AW73" i="1"/>
  <c r="AV73" i="1" a="1"/>
  <c r="AV73" i="1"/>
  <c r="AU73" i="1" a="1"/>
  <c r="AU73" i="1" s="1"/>
  <c r="AT73" i="1" a="1"/>
  <c r="AT73" i="1" s="1"/>
  <c r="AS73" i="1" a="1"/>
  <c r="AS73" i="1" s="1"/>
  <c r="AR73" i="1" a="1"/>
  <c r="AR73" i="1"/>
  <c r="AQ73" i="1" a="1"/>
  <c r="AQ73" i="1"/>
  <c r="AP73" i="1" a="1"/>
  <c r="AP73" i="1" s="1"/>
  <c r="AO73" i="1" a="1"/>
  <c r="AO73" i="1"/>
  <c r="AX72" i="1" a="1"/>
  <c r="AX72" i="1"/>
  <c r="AW72" i="1" a="1"/>
  <c r="AW72" i="1" s="1"/>
  <c r="AV72" i="1" a="1"/>
  <c r="AV72" i="1" s="1"/>
  <c r="AU72" i="1" a="1"/>
  <c r="AU72" i="1" s="1"/>
  <c r="AT72" i="1" a="1"/>
  <c r="AT72" i="1"/>
  <c r="AS72" i="1" a="1"/>
  <c r="AS72" i="1"/>
  <c r="AR72" i="1" a="1"/>
  <c r="AR72" i="1" s="1"/>
  <c r="AQ72" i="1" a="1"/>
  <c r="AQ72" i="1"/>
  <c r="AP72" i="1" a="1"/>
  <c r="AP72" i="1"/>
  <c r="AO72" i="1" a="1"/>
  <c r="AO72" i="1"/>
  <c r="J72" i="1"/>
  <c r="I72" i="1"/>
  <c r="H72" i="1"/>
  <c r="G72" i="1"/>
  <c r="AX71" i="1" a="1"/>
  <c r="AX71" i="1"/>
  <c r="AW71" i="1" a="1"/>
  <c r="AW71" i="1"/>
  <c r="AV71" i="1" a="1"/>
  <c r="AV71" i="1" s="1"/>
  <c r="AU71" i="1" a="1"/>
  <c r="AU71" i="1"/>
  <c r="AT71" i="1" a="1"/>
  <c r="AT71" i="1"/>
  <c r="AS71" i="1" a="1"/>
  <c r="AS71" i="1" s="1"/>
  <c r="AR71" i="1" a="1"/>
  <c r="AR71" i="1" s="1"/>
  <c r="AQ71" i="1" a="1"/>
  <c r="AQ71" i="1"/>
  <c r="AP71" i="1" a="1"/>
  <c r="AP71" i="1"/>
  <c r="AO71" i="1" a="1"/>
  <c r="AO71" i="1" s="1"/>
  <c r="AX70" i="1" a="1"/>
  <c r="AX70" i="1" s="1"/>
  <c r="AW70" i="1" a="1"/>
  <c r="AW70" i="1"/>
  <c r="AV70" i="1" a="1"/>
  <c r="AV70" i="1"/>
  <c r="AU70" i="1" a="1"/>
  <c r="AU70" i="1"/>
  <c r="AT70" i="1" a="1"/>
  <c r="AT70" i="1" s="1"/>
  <c r="AS70" i="1" a="1"/>
  <c r="AS70" i="1"/>
  <c r="AR70" i="1" a="1"/>
  <c r="AR70" i="1"/>
  <c r="AQ70" i="1" a="1"/>
  <c r="AQ70" i="1"/>
  <c r="AP70" i="1" a="1"/>
  <c r="AP70" i="1" s="1"/>
  <c r="AO70" i="1" a="1"/>
  <c r="AO70" i="1" s="1"/>
  <c r="Y70" i="1"/>
  <c r="W70" i="1"/>
  <c r="V70" i="1"/>
  <c r="U70" i="1"/>
  <c r="AX69" i="1" a="1"/>
  <c r="AX69" i="1" s="1"/>
  <c r="AW69" i="1" a="1"/>
  <c r="AW69" i="1"/>
  <c r="AV69" i="1" a="1"/>
  <c r="AV69" i="1"/>
  <c r="AU69" i="1" a="1"/>
  <c r="AU69" i="1"/>
  <c r="AT69" i="1" a="1"/>
  <c r="AT69" i="1" s="1"/>
  <c r="AS69" i="1" a="1"/>
  <c r="AS69" i="1"/>
  <c r="AR69" i="1" a="1"/>
  <c r="AR69" i="1"/>
  <c r="AQ69" i="1" a="1"/>
  <c r="AQ69" i="1"/>
  <c r="AP69" i="1" a="1"/>
  <c r="AP69" i="1" s="1"/>
  <c r="AO69" i="1" a="1"/>
  <c r="AO69" i="1" s="1"/>
  <c r="AX68" i="1" a="1"/>
  <c r="AX68" i="1"/>
  <c r="AW68" i="1" a="1"/>
  <c r="AW68" i="1"/>
  <c r="AV68" i="1" a="1"/>
  <c r="AV68" i="1" s="1"/>
  <c r="AU68" i="1" a="1"/>
  <c r="AU68" i="1"/>
  <c r="AT68" i="1" a="1"/>
  <c r="AT68" i="1"/>
  <c r="AS68" i="1" a="1"/>
  <c r="AS68" i="1" s="1"/>
  <c r="AR68" i="1" a="1"/>
  <c r="AR68" i="1" s="1"/>
  <c r="AQ68" i="1" a="1"/>
  <c r="AQ68" i="1"/>
  <c r="AP68" i="1" a="1"/>
  <c r="AP68" i="1"/>
  <c r="AO68" i="1" a="1"/>
  <c r="AO68" i="1"/>
  <c r="AX67" i="1" a="1"/>
  <c r="AX67" i="1" s="1"/>
  <c r="AW67" i="1" a="1"/>
  <c r="AW67" i="1"/>
  <c r="AV67" i="1" a="1"/>
  <c r="AV67" i="1"/>
  <c r="AU67" i="1" a="1"/>
  <c r="AU67" i="1" s="1"/>
  <c r="AT67" i="1" a="1"/>
  <c r="AT67" i="1" s="1"/>
  <c r="AS67" i="1" a="1"/>
  <c r="AS67" i="1"/>
  <c r="AR67" i="1" a="1"/>
  <c r="AR67" i="1"/>
  <c r="AQ67" i="1" a="1"/>
  <c r="AQ67" i="1"/>
  <c r="AP67" i="1" a="1"/>
  <c r="AP67" i="1" s="1"/>
  <c r="AO67" i="1" a="1"/>
  <c r="AO67" i="1" s="1"/>
  <c r="AX66" i="1" a="1"/>
  <c r="AX66" i="1"/>
  <c r="AW66" i="1" a="1"/>
  <c r="AW66" i="1"/>
  <c r="AV66" i="1" a="1"/>
  <c r="AV66" i="1" s="1"/>
  <c r="AU66" i="1" a="1"/>
  <c r="AU66" i="1" s="1"/>
  <c r="AT66" i="1" a="1"/>
  <c r="AT66" i="1"/>
  <c r="AS66" i="1" a="1"/>
  <c r="AS66" i="1"/>
  <c r="AR66" i="1" a="1"/>
  <c r="AR66" i="1" s="1"/>
  <c r="AQ66" i="1" a="1"/>
  <c r="AQ66" i="1" s="1"/>
  <c r="AP66" i="1" a="1"/>
  <c r="AP66" i="1" s="1"/>
  <c r="AO66" i="1" a="1"/>
  <c r="AO66" i="1"/>
  <c r="AX65" i="1" a="1"/>
  <c r="AX65" i="1" s="1"/>
  <c r="AW65" i="1" a="1"/>
  <c r="AW65" i="1"/>
  <c r="AV65" i="1" a="1"/>
  <c r="AV65" i="1" s="1"/>
  <c r="AU65" i="1" a="1"/>
  <c r="AU65" i="1"/>
  <c r="AT65" i="1" a="1"/>
  <c r="AT65" i="1" s="1"/>
  <c r="AS65" i="1" a="1"/>
  <c r="AS65" i="1"/>
  <c r="AR65" i="1" a="1"/>
  <c r="AR65" i="1"/>
  <c r="AQ65" i="1" a="1"/>
  <c r="AQ65" i="1" s="1"/>
  <c r="AP65" i="1" a="1"/>
  <c r="AP65" i="1" s="1"/>
  <c r="AO65" i="1" a="1"/>
  <c r="AO65" i="1"/>
  <c r="J65" i="1"/>
  <c r="I65" i="1"/>
  <c r="AX64" i="1" a="1"/>
  <c r="AX64" i="1"/>
  <c r="AW64" i="1" a="1"/>
  <c r="AW64" i="1" s="1"/>
  <c r="AV64" i="1" a="1"/>
  <c r="AV64" i="1"/>
  <c r="AU64" i="1" a="1"/>
  <c r="AU64" i="1" s="1"/>
  <c r="AT64" i="1" a="1"/>
  <c r="AT64" i="1"/>
  <c r="AS64" i="1" a="1"/>
  <c r="AS64" i="1" s="1"/>
  <c r="AR64" i="1" a="1"/>
  <c r="AR64" i="1"/>
  <c r="AQ64" i="1" a="1"/>
  <c r="AQ64" i="1"/>
  <c r="AP64" i="1" a="1"/>
  <c r="AP64" i="1"/>
  <c r="AO64" i="1" a="1"/>
  <c r="AO64" i="1" s="1"/>
  <c r="AX63" i="1" a="1"/>
  <c r="AX63" i="1" s="1"/>
  <c r="AW63" i="1" a="1"/>
  <c r="AW63" i="1"/>
  <c r="AV63" i="1" a="1"/>
  <c r="AV63" i="1"/>
  <c r="AU63" i="1" a="1"/>
  <c r="AU63" i="1" s="1"/>
  <c r="AT63" i="1" a="1"/>
  <c r="AT63" i="1"/>
  <c r="AS63" i="1" a="1"/>
  <c r="AS63" i="1"/>
  <c r="AR63" i="1" a="1"/>
  <c r="AR63" i="1"/>
  <c r="AQ63" i="1" a="1"/>
  <c r="AQ63" i="1" s="1"/>
  <c r="AP63" i="1" a="1"/>
  <c r="AP63" i="1"/>
  <c r="AO63" i="1" a="1"/>
  <c r="AO63" i="1" s="1"/>
  <c r="X63" i="1"/>
  <c r="W63" i="1"/>
  <c r="U63" i="1"/>
  <c r="AX62" i="1" a="1"/>
  <c r="AX62" i="1"/>
  <c r="AW62" i="1" a="1"/>
  <c r="AW62" i="1"/>
  <c r="AV62" i="1" a="1"/>
  <c r="AV62" i="1"/>
  <c r="AU62" i="1" a="1"/>
  <c r="AU62" i="1" s="1"/>
  <c r="AT62" i="1" a="1"/>
  <c r="AT62" i="1"/>
  <c r="AS62" i="1" a="1"/>
  <c r="AS62" i="1"/>
  <c r="AR62" i="1" a="1"/>
  <c r="AR62" i="1"/>
  <c r="AQ62" i="1" a="1"/>
  <c r="AQ62" i="1" s="1"/>
  <c r="AP62" i="1" a="1"/>
  <c r="AP62" i="1"/>
  <c r="AO62" i="1" a="1"/>
  <c r="AO62" i="1"/>
  <c r="AX61" i="1" a="1"/>
  <c r="AX61" i="1"/>
  <c r="AW61" i="1" a="1"/>
  <c r="AW61" i="1" s="1"/>
  <c r="AV61" i="1" a="1"/>
  <c r="AV61" i="1"/>
  <c r="AU61" i="1" a="1"/>
  <c r="AU61" i="1"/>
  <c r="AT61" i="1" a="1"/>
  <c r="AT61" i="1"/>
  <c r="AS61" i="1" a="1"/>
  <c r="AS61" i="1" s="1"/>
  <c r="AR61" i="1" a="1"/>
  <c r="AR61" i="1"/>
  <c r="AQ61" i="1" a="1"/>
  <c r="AQ61" i="1"/>
  <c r="AP61" i="1" a="1"/>
  <c r="AP61" i="1"/>
  <c r="AO61" i="1" a="1"/>
  <c r="AO61" i="1" s="1"/>
  <c r="AX60" i="1" a="1"/>
  <c r="AX60" i="1"/>
  <c r="AW60" i="1" a="1"/>
  <c r="AW60" i="1"/>
  <c r="AV60" i="1" a="1"/>
  <c r="AV60" i="1"/>
  <c r="AU60" i="1" a="1"/>
  <c r="AU60" i="1" s="1"/>
  <c r="AT60" i="1" a="1"/>
  <c r="AT60" i="1"/>
  <c r="AS60" i="1" a="1"/>
  <c r="AS60" i="1"/>
  <c r="AR60" i="1" a="1"/>
  <c r="AR60" i="1"/>
  <c r="AQ60" i="1" a="1"/>
  <c r="AQ60" i="1" s="1"/>
  <c r="AP60" i="1" a="1"/>
  <c r="AP60" i="1"/>
  <c r="AO60" i="1" a="1"/>
  <c r="AO60" i="1"/>
  <c r="J60" i="1"/>
  <c r="AX59" i="1" a="1"/>
  <c r="AX59" i="1"/>
  <c r="AW59" i="1" a="1"/>
  <c r="AW59" i="1" s="1"/>
  <c r="AV59" i="1" a="1"/>
  <c r="AV59" i="1"/>
  <c r="AU59" i="1" a="1"/>
  <c r="AU59" i="1"/>
  <c r="AT59" i="1" a="1"/>
  <c r="AT59" i="1"/>
  <c r="AS59" i="1" a="1"/>
  <c r="AS59" i="1" s="1"/>
  <c r="AR59" i="1" a="1"/>
  <c r="AR59" i="1"/>
  <c r="AQ59" i="1" a="1"/>
  <c r="AQ59" i="1" s="1"/>
  <c r="AP59" i="1" a="1"/>
  <c r="AP59" i="1" s="1"/>
  <c r="AO59" i="1" a="1"/>
  <c r="AO59" i="1" s="1"/>
  <c r="AX58" i="1" a="1"/>
  <c r="AX58" i="1"/>
  <c r="AW58" i="1" a="1"/>
  <c r="AW58" i="1"/>
  <c r="AV58" i="1" a="1"/>
  <c r="AV58" i="1" s="1"/>
  <c r="AU58" i="1" a="1"/>
  <c r="AU58" i="1" s="1"/>
  <c r="AT58" i="1" a="1"/>
  <c r="AT58" i="1"/>
  <c r="AS58" i="1" a="1"/>
  <c r="AS58" i="1" s="1"/>
  <c r="AR58" i="1" a="1"/>
  <c r="AR58" i="1"/>
  <c r="AQ58" i="1" a="1"/>
  <c r="AQ58" i="1" s="1"/>
  <c r="AP58" i="1" a="1"/>
  <c r="AP58" i="1"/>
  <c r="AO58" i="1" a="1"/>
  <c r="AO58" i="1"/>
  <c r="AX57" i="1" a="1"/>
  <c r="AX57" i="1"/>
  <c r="AW57" i="1" a="1"/>
  <c r="AW57" i="1" s="1"/>
  <c r="AV57" i="1" a="1"/>
  <c r="AV57" i="1" s="1"/>
  <c r="AU57" i="1" a="1"/>
  <c r="AU57" i="1"/>
  <c r="AT57" i="1" a="1"/>
  <c r="AT57" i="1"/>
  <c r="AS57" i="1" a="1"/>
  <c r="AS57" i="1" s="1"/>
  <c r="AR57" i="1" a="1"/>
  <c r="AR57" i="1"/>
  <c r="AQ57" i="1" a="1"/>
  <c r="AQ57" i="1"/>
  <c r="AP57" i="1" a="1"/>
  <c r="AP57" i="1"/>
  <c r="AO57" i="1" a="1"/>
  <c r="AO57" i="1" s="1"/>
  <c r="AX56" i="1" a="1"/>
  <c r="AX56" i="1"/>
  <c r="AW56" i="1" a="1"/>
  <c r="AW56" i="1" s="1"/>
  <c r="AV56" i="1" a="1"/>
  <c r="AV56" i="1"/>
  <c r="AU56" i="1" a="1"/>
  <c r="AU56" i="1"/>
  <c r="AT56" i="1" a="1"/>
  <c r="AT56" i="1" s="1"/>
  <c r="AS56" i="1" a="1"/>
  <c r="AS56" i="1" s="1"/>
  <c r="AR56" i="1" a="1"/>
  <c r="AR56" i="1"/>
  <c r="AQ56" i="1" a="1"/>
  <c r="AQ56" i="1"/>
  <c r="AP56" i="1" a="1"/>
  <c r="AP56" i="1"/>
  <c r="AO56" i="1" a="1"/>
  <c r="AO56" i="1" s="1"/>
  <c r="AX55" i="1" a="1"/>
  <c r="AX55" i="1"/>
  <c r="AW55" i="1" a="1"/>
  <c r="AW55" i="1"/>
  <c r="AV55" i="1" a="1"/>
  <c r="AV55" i="1"/>
  <c r="AU55" i="1" a="1"/>
  <c r="AU55" i="1" s="1"/>
  <c r="AT55" i="1" a="1"/>
  <c r="AT55" i="1"/>
  <c r="AS55" i="1" a="1"/>
  <c r="AS55" i="1" s="1"/>
  <c r="AR55" i="1" a="1"/>
  <c r="AR55" i="1"/>
  <c r="AQ55" i="1" a="1"/>
  <c r="AQ55" i="1" s="1"/>
  <c r="AP55" i="1" a="1"/>
  <c r="AP55" i="1"/>
  <c r="AO55" i="1" a="1"/>
  <c r="AO55" i="1"/>
  <c r="Y55" i="1"/>
  <c r="U55" i="1"/>
  <c r="AX54" i="1" a="1"/>
  <c r="AX54" i="1" s="1"/>
  <c r="AW54" i="1" a="1"/>
  <c r="AW54" i="1"/>
  <c r="AV54" i="1" a="1"/>
  <c r="AV54" i="1"/>
  <c r="AU54" i="1" a="1"/>
  <c r="AU54" i="1" s="1"/>
  <c r="AT54" i="1" a="1"/>
  <c r="AT54" i="1" s="1"/>
  <c r="AS54" i="1" a="1"/>
  <c r="AS54" i="1"/>
  <c r="AR54" i="1" a="1"/>
  <c r="AR54" i="1" s="1"/>
  <c r="AQ54" i="1" a="1"/>
  <c r="AQ54" i="1"/>
  <c r="AP54" i="1" a="1"/>
  <c r="AP54" i="1" s="1"/>
  <c r="AO54" i="1" a="1"/>
  <c r="AO54" i="1"/>
  <c r="X54" i="1"/>
  <c r="W54" i="1"/>
  <c r="V54" i="1"/>
  <c r="U54" i="1"/>
  <c r="AX53" i="1" a="1"/>
  <c r="AX53" i="1" s="1"/>
  <c r="AW53" i="1" a="1"/>
  <c r="AW53" i="1"/>
  <c r="AV53" i="1" a="1"/>
  <c r="AV53" i="1" s="1"/>
  <c r="AU53" i="1" a="1"/>
  <c r="AU53" i="1" s="1"/>
  <c r="AT53" i="1" a="1"/>
  <c r="AT53" i="1" s="1"/>
  <c r="AS53" i="1" a="1"/>
  <c r="AS53" i="1"/>
  <c r="AR53" i="1" a="1"/>
  <c r="AR53" i="1"/>
  <c r="AQ53" i="1" a="1"/>
  <c r="AQ53" i="1" s="1"/>
  <c r="AP53" i="1" a="1"/>
  <c r="AP53" i="1" s="1"/>
  <c r="AO53" i="1" a="1"/>
  <c r="AO53" i="1"/>
  <c r="AX52" i="1" a="1"/>
  <c r="AX52" i="1"/>
  <c r="AW52" i="1" a="1"/>
  <c r="AW52" i="1"/>
  <c r="AV52" i="1" a="1"/>
  <c r="AV52" i="1" s="1"/>
  <c r="AU52" i="1" a="1"/>
  <c r="AU52" i="1"/>
  <c r="AT52" i="1" a="1"/>
  <c r="AT52" i="1" s="1"/>
  <c r="AS52" i="1" a="1"/>
  <c r="AS52" i="1"/>
  <c r="AR52" i="1" a="1"/>
  <c r="AR52" i="1" s="1"/>
  <c r="AQ52" i="1" a="1"/>
  <c r="AQ52" i="1"/>
  <c r="AP52" i="1" a="1"/>
  <c r="AP52" i="1"/>
  <c r="AO52" i="1" a="1"/>
  <c r="AO52" i="1"/>
  <c r="AX51" i="1" a="1"/>
  <c r="AX51" i="1" s="1"/>
  <c r="AW51" i="1" a="1"/>
  <c r="AW51" i="1"/>
  <c r="AV51" i="1" a="1"/>
  <c r="AV51" i="1"/>
  <c r="AU51" i="1" a="1"/>
  <c r="AU51" i="1" s="1"/>
  <c r="AT51" i="1" a="1"/>
  <c r="AT51" i="1" s="1"/>
  <c r="AS51" i="1" a="1"/>
  <c r="AS51" i="1"/>
  <c r="AR51" i="1" a="1"/>
  <c r="AR51" i="1" s="1"/>
  <c r="AQ51" i="1" a="1"/>
  <c r="AQ51" i="1"/>
  <c r="AP51" i="1" a="1"/>
  <c r="AP51" i="1" s="1"/>
  <c r="AO51" i="1" a="1"/>
  <c r="AO51" i="1"/>
  <c r="AX50" i="1" a="1"/>
  <c r="AX50" i="1"/>
  <c r="AW50" i="1" a="1"/>
  <c r="AW50" i="1"/>
  <c r="AV50" i="1" a="1"/>
  <c r="AV50" i="1" s="1"/>
  <c r="AU50" i="1" a="1"/>
  <c r="AU50" i="1"/>
  <c r="AT50" i="1" a="1"/>
  <c r="AT50" i="1"/>
  <c r="AS50" i="1" a="1"/>
  <c r="AS50" i="1" s="1"/>
  <c r="AR50" i="1" a="1"/>
  <c r="AR50" i="1" s="1"/>
  <c r="AQ50" i="1" a="1"/>
  <c r="AQ50" i="1"/>
  <c r="AP50" i="1" a="1"/>
  <c r="AP50" i="1"/>
  <c r="AO50" i="1" a="1"/>
  <c r="AO50" i="1"/>
  <c r="J50" i="1"/>
  <c r="I50" i="1"/>
  <c r="G50" i="1"/>
  <c r="F50" i="1"/>
  <c r="AX49" i="1" a="1"/>
  <c r="AX49" i="1"/>
  <c r="AW49" i="1" a="1"/>
  <c r="AW49" i="1"/>
  <c r="AV49" i="1" a="1"/>
  <c r="AV49" i="1" s="1"/>
  <c r="AU49" i="1" a="1"/>
  <c r="AU49" i="1"/>
  <c r="AT49" i="1" a="1"/>
  <c r="AT49" i="1"/>
  <c r="AS49" i="1" a="1"/>
  <c r="AS49" i="1"/>
  <c r="AR49" i="1" a="1"/>
  <c r="AR49" i="1" s="1"/>
  <c r="AQ49" i="1" a="1"/>
  <c r="AQ49" i="1"/>
  <c r="AP49" i="1" a="1"/>
  <c r="AP49" i="1" s="1"/>
  <c r="AO49" i="1" a="1"/>
  <c r="AO49" i="1"/>
  <c r="X49" i="1"/>
  <c r="F49" i="1"/>
  <c r="AX48" i="1" a="1"/>
  <c r="AX48" i="1"/>
  <c r="AW48" i="1" a="1"/>
  <c r="AW48" i="1" s="1"/>
  <c r="AV48" i="1" a="1"/>
  <c r="AV48" i="1"/>
  <c r="AU48" i="1" a="1"/>
  <c r="AU48" i="1" s="1"/>
  <c r="AT48" i="1" a="1"/>
  <c r="AT48" i="1"/>
  <c r="AS48" i="1" a="1"/>
  <c r="AS48" i="1"/>
  <c r="AR48" i="1" a="1"/>
  <c r="AR48" i="1"/>
  <c r="AQ48" i="1" a="1"/>
  <c r="AQ48" i="1" s="1"/>
  <c r="AP48" i="1" a="1"/>
  <c r="AP48" i="1"/>
  <c r="AO48" i="1" a="1"/>
  <c r="AO48" i="1"/>
  <c r="J48" i="1"/>
  <c r="I48" i="1"/>
  <c r="H48" i="1"/>
  <c r="G48" i="1"/>
  <c r="AX47" i="1" a="1"/>
  <c r="AX47" i="1"/>
  <c r="AW47" i="1" a="1"/>
  <c r="AW47" i="1"/>
  <c r="AV47" i="1" a="1"/>
  <c r="AV47" i="1" s="1"/>
  <c r="AU47" i="1" a="1"/>
  <c r="AU47" i="1" s="1"/>
  <c r="AT47" i="1" a="1"/>
  <c r="AT47" i="1"/>
  <c r="AS47" i="1" a="1"/>
  <c r="AS47" i="1" s="1"/>
  <c r="AR47" i="1" a="1"/>
  <c r="AR47" i="1"/>
  <c r="AQ47" i="1" a="1"/>
  <c r="AQ47" i="1" s="1"/>
  <c r="AP47" i="1" a="1"/>
  <c r="AP47" i="1"/>
  <c r="AO47" i="1" a="1"/>
  <c r="AO47" i="1"/>
  <c r="BE46" i="1"/>
  <c r="AX46" i="1" a="1"/>
  <c r="AX46" i="1"/>
  <c r="AW46" i="1" a="1"/>
  <c r="AW46" i="1"/>
  <c r="AV46" i="1" a="1"/>
  <c r="AV46" i="1" s="1"/>
  <c r="AU46" i="1" a="1"/>
  <c r="AU46" i="1" s="1"/>
  <c r="AT46" i="1" a="1"/>
  <c r="AT46" i="1"/>
  <c r="AS46" i="1" a="1"/>
  <c r="AS46" i="1"/>
  <c r="AR46" i="1" a="1"/>
  <c r="AR46" i="1" s="1"/>
  <c r="AQ46" i="1" a="1"/>
  <c r="AQ46" i="1" s="1"/>
  <c r="AP46" i="1" a="1"/>
  <c r="AP46" i="1"/>
  <c r="AO46" i="1" a="1"/>
  <c r="AO46" i="1"/>
  <c r="AX45" i="1" a="1"/>
  <c r="AX45" i="1"/>
  <c r="AW45" i="1" a="1"/>
  <c r="AW45" i="1" s="1"/>
  <c r="AV45" i="1" a="1"/>
  <c r="AV45" i="1"/>
  <c r="AU45" i="1" a="1"/>
  <c r="AU45" i="1"/>
  <c r="AT45" i="1" a="1"/>
  <c r="AT45" i="1"/>
  <c r="AS45" i="1" a="1"/>
  <c r="AS45" i="1" s="1"/>
  <c r="AR45" i="1" a="1"/>
  <c r="AR45" i="1"/>
  <c r="AQ45" i="1" a="1"/>
  <c r="AQ45" i="1"/>
  <c r="AP45" i="1" a="1"/>
  <c r="AP45" i="1"/>
  <c r="AO45" i="1" a="1"/>
  <c r="AO45" i="1" s="1"/>
  <c r="AX44" i="1" a="1"/>
  <c r="AX44" i="1"/>
  <c r="AW44" i="1" a="1"/>
  <c r="AW44" i="1"/>
  <c r="AV44" i="1" a="1"/>
  <c r="AV44" i="1"/>
  <c r="AU44" i="1" a="1"/>
  <c r="AU44" i="1" s="1"/>
  <c r="AT44" i="1" a="1"/>
  <c r="AT44" i="1"/>
  <c r="AS44" i="1" a="1"/>
  <c r="AS44" i="1"/>
  <c r="AR44" i="1" a="1"/>
  <c r="AR44" i="1"/>
  <c r="AQ44" i="1" a="1"/>
  <c r="AQ44" i="1" s="1"/>
  <c r="AP44" i="1" a="1"/>
  <c r="AP44" i="1"/>
  <c r="AO44" i="1" a="1"/>
  <c r="AO44" i="1"/>
  <c r="J44" i="1"/>
  <c r="I44" i="1"/>
  <c r="H44" i="1"/>
  <c r="G44" i="1"/>
  <c r="F44" i="1"/>
  <c r="AX43" i="1" a="1"/>
  <c r="AX43" i="1" s="1"/>
  <c r="AW43" i="1" a="1"/>
  <c r="AW43" i="1"/>
  <c r="AV43" i="1" a="1"/>
  <c r="AV43" i="1" s="1"/>
  <c r="AU43" i="1" a="1"/>
  <c r="AU43" i="1" s="1"/>
  <c r="AT43" i="1" a="1"/>
  <c r="AT43" i="1" s="1"/>
  <c r="AS43" i="1" a="1"/>
  <c r="AS43" i="1"/>
  <c r="AR43" i="1" a="1"/>
  <c r="AR43" i="1"/>
  <c r="AQ43" i="1" a="1"/>
  <c r="AQ43" i="1" s="1"/>
  <c r="AP43" i="1" a="1"/>
  <c r="AP43" i="1" s="1"/>
  <c r="AO43" i="1" a="1"/>
  <c r="AO43" i="1"/>
  <c r="Y43" i="1"/>
  <c r="X43" i="1"/>
  <c r="AX42" i="1" a="1"/>
  <c r="AX42" i="1"/>
  <c r="AW42" i="1" a="1"/>
  <c r="AW42" i="1" s="1"/>
  <c r="AV42" i="1" a="1"/>
  <c r="AV42" i="1"/>
  <c r="AU42" i="1" a="1"/>
  <c r="AU42" i="1" s="1"/>
  <c r="AT42" i="1" a="1"/>
  <c r="AT42" i="1"/>
  <c r="AS42" i="1" a="1"/>
  <c r="AS42" i="1" s="1"/>
  <c r="AR42" i="1" a="1"/>
  <c r="AR42" i="1" s="1"/>
  <c r="AQ42" i="1" a="1"/>
  <c r="AQ42" i="1"/>
  <c r="AP42" i="1" a="1"/>
  <c r="AP42" i="1"/>
  <c r="AO42" i="1" a="1"/>
  <c r="AO42" i="1" s="1"/>
  <c r="AX41" i="1" a="1"/>
  <c r="AX41" i="1" s="1"/>
  <c r="AW41" i="1" a="1"/>
  <c r="AW41" i="1"/>
  <c r="AV41" i="1" a="1"/>
  <c r="AV41" i="1" s="1"/>
  <c r="AU41" i="1" a="1"/>
  <c r="AU41" i="1" s="1"/>
  <c r="AT41" i="1" a="1"/>
  <c r="AT41" i="1"/>
  <c r="AS41" i="1" a="1"/>
  <c r="AS41" i="1" s="1"/>
  <c r="AR41" i="1" a="1"/>
  <c r="AR41" i="1"/>
  <c r="AQ41" i="1" a="1"/>
  <c r="AQ41" i="1" s="1"/>
  <c r="AP41" i="1" a="1"/>
  <c r="AP41" i="1"/>
  <c r="AO41" i="1" a="1"/>
  <c r="AO41" i="1"/>
  <c r="AX40" i="1" a="1"/>
  <c r="AX40" i="1"/>
  <c r="AW40" i="1" a="1"/>
  <c r="AW40" i="1" s="1"/>
  <c r="AV40" i="1" a="1"/>
  <c r="AV40" i="1"/>
  <c r="AU40" i="1" a="1"/>
  <c r="AU40" i="1"/>
  <c r="AT40" i="1" a="1"/>
  <c r="AT40" i="1" s="1"/>
  <c r="AS40" i="1" a="1"/>
  <c r="AS40" i="1" s="1"/>
  <c r="AR40" i="1" a="1"/>
  <c r="AR40" i="1" s="1"/>
  <c r="AQ40" i="1" a="1"/>
  <c r="AQ40" i="1"/>
  <c r="AP40" i="1" a="1"/>
  <c r="AP40" i="1"/>
  <c r="AO40" i="1" a="1"/>
  <c r="AO40" i="1" s="1"/>
  <c r="AX39" i="1" a="1"/>
  <c r="AX39" i="1"/>
  <c r="AW39" i="1" a="1"/>
  <c r="AW39" i="1"/>
  <c r="AV39" i="1" a="1"/>
  <c r="AV39" i="1"/>
  <c r="AU39" i="1" a="1"/>
  <c r="AU39" i="1" s="1"/>
  <c r="AT39" i="1" a="1"/>
  <c r="AT39" i="1"/>
  <c r="AS39" i="1" a="1"/>
  <c r="AS39" i="1" s="1"/>
  <c r="AR39" i="1" a="1"/>
  <c r="AR39" i="1"/>
  <c r="AQ39" i="1" a="1"/>
  <c r="AQ39" i="1" s="1"/>
  <c r="AP39" i="1" a="1"/>
  <c r="AP39" i="1" s="1"/>
  <c r="AO39" i="1" a="1"/>
  <c r="AO39" i="1"/>
  <c r="U39" i="1"/>
  <c r="J39" i="1"/>
  <c r="I39" i="1"/>
  <c r="H39" i="1"/>
  <c r="G39" i="1"/>
  <c r="F39" i="1"/>
  <c r="BD38" i="1"/>
  <c r="AX38" i="1" a="1"/>
  <c r="AX38" i="1" s="1"/>
  <c r="AW38" i="1" a="1"/>
  <c r="AW38" i="1"/>
  <c r="AV38" i="1" a="1"/>
  <c r="AV38" i="1"/>
  <c r="AU38" i="1" a="1"/>
  <c r="AU38" i="1"/>
  <c r="AT38" i="1" a="1"/>
  <c r="AT38" i="1" s="1"/>
  <c r="AS38" i="1" a="1"/>
  <c r="AS38" i="1"/>
  <c r="AR38" i="1" a="1"/>
  <c r="AR38" i="1"/>
  <c r="AQ38" i="1" a="1"/>
  <c r="AQ38" i="1"/>
  <c r="AP38" i="1" a="1"/>
  <c r="AP38" i="1" s="1"/>
  <c r="AO38" i="1" a="1"/>
  <c r="AO38" i="1"/>
  <c r="AX37" i="1" a="1"/>
  <c r="AX37" i="1"/>
  <c r="AW37" i="1" a="1"/>
  <c r="AW37" i="1"/>
  <c r="AV37" i="1" a="1"/>
  <c r="AV37" i="1" s="1"/>
  <c r="AU37" i="1" a="1"/>
  <c r="AU37" i="1"/>
  <c r="AT37" i="1" a="1"/>
  <c r="AT37" i="1"/>
  <c r="AS37" i="1" a="1"/>
  <c r="AS37" i="1"/>
  <c r="AR37" i="1" a="1"/>
  <c r="AR37" i="1" s="1"/>
  <c r="AQ37" i="1" a="1"/>
  <c r="AQ37" i="1"/>
  <c r="AP37" i="1" a="1"/>
  <c r="AP37" i="1"/>
  <c r="AO37" i="1" a="1"/>
  <c r="AO37" i="1"/>
  <c r="J37" i="1"/>
  <c r="I37" i="1"/>
  <c r="H37" i="1"/>
  <c r="G37" i="1"/>
  <c r="F37" i="1"/>
  <c r="AX36" i="1" a="1"/>
  <c r="AX36" i="1" s="1"/>
  <c r="AW36" i="1" a="1"/>
  <c r="AW36" i="1"/>
  <c r="AV36" i="1" a="1"/>
  <c r="AV36" i="1"/>
  <c r="AU36" i="1" a="1"/>
  <c r="AU36" i="1" s="1"/>
  <c r="AT36" i="1" a="1"/>
  <c r="AT36" i="1"/>
  <c r="AS36" i="1" a="1"/>
  <c r="AS36" i="1"/>
  <c r="AR36" i="1" a="1"/>
  <c r="AR36" i="1" s="1"/>
  <c r="AQ36" i="1" a="1"/>
  <c r="AQ36" i="1" s="1"/>
  <c r="AP36" i="1" a="1"/>
  <c r="AP36" i="1"/>
  <c r="AO36" i="1" a="1"/>
  <c r="AO36" i="1" s="1"/>
  <c r="J36" i="1"/>
  <c r="I36" i="1"/>
  <c r="H36" i="1"/>
  <c r="G36" i="1"/>
  <c r="F36" i="1"/>
  <c r="AX35" i="1" a="1"/>
  <c r="AX35" i="1" s="1"/>
  <c r="AW35" i="1" a="1"/>
  <c r="AW35" i="1"/>
  <c r="AV35" i="1" a="1"/>
  <c r="AV35" i="1" s="1"/>
  <c r="AU35" i="1" a="1"/>
  <c r="AU35" i="1"/>
  <c r="AT35" i="1" a="1"/>
  <c r="AT35" i="1"/>
  <c r="AS35" i="1" a="1"/>
  <c r="AS35" i="1"/>
  <c r="AR35" i="1" a="1"/>
  <c r="AR35" i="1" s="1"/>
  <c r="AQ35" i="1" a="1"/>
  <c r="AQ35" i="1"/>
  <c r="AP35" i="1" a="1"/>
  <c r="AP35" i="1" s="1"/>
  <c r="AO35" i="1" a="1"/>
  <c r="AO35" i="1"/>
  <c r="Y35" i="1"/>
  <c r="W35" i="1"/>
  <c r="AX34" i="1" a="1"/>
  <c r="AX34" i="1"/>
  <c r="AW34" i="1" a="1"/>
  <c r="AW34" i="1" s="1"/>
  <c r="AV34" i="1" a="1"/>
  <c r="AV34" i="1"/>
  <c r="AU34" i="1" a="1"/>
  <c r="AU34" i="1" s="1"/>
  <c r="AT34" i="1" a="1"/>
  <c r="AT34" i="1"/>
  <c r="AS34" i="1" a="1"/>
  <c r="AS34" i="1"/>
  <c r="AR34" i="1" a="1"/>
  <c r="AR34" i="1"/>
  <c r="AQ34" i="1" a="1"/>
  <c r="AQ34" i="1" s="1"/>
  <c r="AP34" i="1" a="1"/>
  <c r="AP34" i="1"/>
  <c r="AO34" i="1" a="1"/>
  <c r="AO34" i="1"/>
  <c r="AX33" i="1" a="1"/>
  <c r="AX33" i="1"/>
  <c r="AW33" i="1" a="1"/>
  <c r="AW33" i="1" s="1"/>
  <c r="AV33" i="1" a="1"/>
  <c r="AV33" i="1"/>
  <c r="AU33" i="1" a="1"/>
  <c r="AU33" i="1"/>
  <c r="AT33" i="1" a="1"/>
  <c r="AT33" i="1"/>
  <c r="AS33" i="1" a="1"/>
  <c r="AS33" i="1" s="1"/>
  <c r="AR33" i="1" a="1"/>
  <c r="AR33" i="1"/>
  <c r="AQ33" i="1" a="1"/>
  <c r="AQ33" i="1"/>
  <c r="AP33" i="1" a="1"/>
  <c r="AP33" i="1"/>
  <c r="AO33" i="1" a="1"/>
  <c r="AO33" i="1" s="1"/>
  <c r="J33" i="1"/>
  <c r="AX32" i="1" a="1"/>
  <c r="AX32" i="1" s="1"/>
  <c r="AW32" i="1" a="1"/>
  <c r="AW32" i="1" s="1"/>
  <c r="AV32" i="1" a="1"/>
  <c r="AV32" i="1"/>
  <c r="AU32" i="1" a="1"/>
  <c r="AU32" i="1" s="1"/>
  <c r="AT32" i="1" a="1"/>
  <c r="AT32" i="1"/>
  <c r="AS32" i="1" a="1"/>
  <c r="AS32" i="1" s="1"/>
  <c r="AR32" i="1" a="1"/>
  <c r="AR32" i="1"/>
  <c r="AQ32" i="1" a="1"/>
  <c r="AQ32" i="1" s="1"/>
  <c r="AP32" i="1" a="1"/>
  <c r="AP32" i="1"/>
  <c r="AO32" i="1" a="1"/>
  <c r="AO32" i="1"/>
  <c r="AX31" i="1" a="1"/>
  <c r="AX31" i="1" s="1"/>
  <c r="AW31" i="1" a="1"/>
  <c r="AW31" i="1" s="1"/>
  <c r="AV31" i="1" a="1"/>
  <c r="AV31" i="1" s="1"/>
  <c r="AU31" i="1" a="1"/>
  <c r="AU31" i="1"/>
  <c r="AT31" i="1" a="1"/>
  <c r="AT31" i="1" s="1"/>
  <c r="AS31" i="1" a="1"/>
  <c r="AS31" i="1" s="1"/>
  <c r="AR31" i="1" a="1"/>
  <c r="AR31" i="1"/>
  <c r="AQ31" i="1" a="1"/>
  <c r="AQ31" i="1"/>
  <c r="AP31" i="1" a="1"/>
  <c r="AP31" i="1"/>
  <c r="AO31" i="1" a="1"/>
  <c r="AO31" i="1" s="1"/>
  <c r="V31" i="1"/>
  <c r="U31" i="1"/>
  <c r="J31" i="1"/>
  <c r="I31" i="1"/>
  <c r="G31" i="1"/>
  <c r="F31" i="1"/>
  <c r="AX30" i="1" a="1"/>
  <c r="AX30" i="1" s="1"/>
  <c r="AW30" i="1" a="1"/>
  <c r="AW30" i="1" s="1"/>
  <c r="AV30" i="1" a="1"/>
  <c r="AV30" i="1"/>
  <c r="AU30" i="1" a="1"/>
  <c r="AU30" i="1"/>
  <c r="AT30" i="1" a="1"/>
  <c r="AT30" i="1" s="1"/>
  <c r="AS30" i="1" a="1"/>
  <c r="AS30" i="1"/>
  <c r="AR30" i="1" a="1"/>
  <c r="AR30" i="1"/>
  <c r="AQ30" i="1" a="1"/>
  <c r="AQ30" i="1" s="1"/>
  <c r="AP30" i="1" a="1"/>
  <c r="AP30" i="1"/>
  <c r="AO30" i="1" a="1"/>
  <c r="AO30" i="1"/>
  <c r="J30" i="1"/>
  <c r="I30" i="1"/>
  <c r="H30" i="1"/>
  <c r="AX29" i="1" a="1"/>
  <c r="AX29" i="1"/>
  <c r="AW29" i="1" a="1"/>
  <c r="AW29" i="1"/>
  <c r="AV29" i="1" a="1"/>
  <c r="AV29" i="1" s="1"/>
  <c r="AU29" i="1" a="1"/>
  <c r="AU29" i="1"/>
  <c r="AT29" i="1" a="1"/>
  <c r="AT29" i="1"/>
  <c r="AS29" i="1" a="1"/>
  <c r="AS29" i="1"/>
  <c r="AR29" i="1" a="1"/>
  <c r="AR29" i="1" s="1"/>
  <c r="AQ29" i="1" a="1"/>
  <c r="AQ29" i="1"/>
  <c r="AP29" i="1" a="1"/>
  <c r="AP29" i="1"/>
  <c r="AO29" i="1" a="1"/>
  <c r="AO29" i="1"/>
  <c r="AX28" i="1" a="1"/>
  <c r="AX28" i="1" s="1"/>
  <c r="AW28" i="1" a="1"/>
  <c r="AW28" i="1"/>
  <c r="AV28" i="1" a="1"/>
  <c r="AV28" i="1"/>
  <c r="AU28" i="1" a="1"/>
  <c r="AU28" i="1"/>
  <c r="AT28" i="1" a="1"/>
  <c r="AT28" i="1" s="1"/>
  <c r="AS28" i="1" a="1"/>
  <c r="AS28" i="1"/>
  <c r="AR28" i="1" a="1"/>
  <c r="AR28" i="1"/>
  <c r="AQ28" i="1" a="1"/>
  <c r="AQ28" i="1" s="1"/>
  <c r="AP28" i="1" a="1"/>
  <c r="AP28" i="1" s="1"/>
  <c r="AO28" i="1" a="1"/>
  <c r="AO28" i="1"/>
  <c r="I28" i="1"/>
  <c r="AX27" i="1" a="1"/>
  <c r="AX27" i="1"/>
  <c r="AW27" i="1" a="1"/>
  <c r="AW27" i="1" s="1"/>
  <c r="AV27" i="1" a="1"/>
  <c r="AV27" i="1"/>
  <c r="AU27" i="1" a="1"/>
  <c r="AU27" i="1" s="1"/>
  <c r="AT27" i="1" a="1"/>
  <c r="AT27" i="1"/>
  <c r="AS27" i="1" a="1"/>
  <c r="AS27" i="1" s="1"/>
  <c r="AR27" i="1" a="1"/>
  <c r="AR27" i="1"/>
  <c r="AQ27" i="1" a="1"/>
  <c r="AQ27" i="1" s="1"/>
  <c r="AP27" i="1" a="1"/>
  <c r="AP27" i="1"/>
  <c r="AO27" i="1" a="1"/>
  <c r="AO27" i="1"/>
  <c r="AX26" i="1" a="1"/>
  <c r="AX26" i="1"/>
  <c r="AW26" i="1" a="1"/>
  <c r="AW26" i="1" s="1"/>
  <c r="AV26" i="1" a="1"/>
  <c r="AV26" i="1"/>
  <c r="AU26" i="1" a="1"/>
  <c r="AU26" i="1"/>
  <c r="AT26" i="1" a="1"/>
  <c r="AT26" i="1"/>
  <c r="AS26" i="1" a="1"/>
  <c r="AS26" i="1" s="1"/>
  <c r="AR26" i="1" a="1"/>
  <c r="AR26" i="1"/>
  <c r="AQ26" i="1" a="1"/>
  <c r="AQ26" i="1"/>
  <c r="AP26" i="1" a="1"/>
  <c r="AP26" i="1"/>
  <c r="AO26" i="1" a="1"/>
  <c r="AO26" i="1" s="1"/>
  <c r="AX25" i="1" a="1"/>
  <c r="AX25" i="1"/>
  <c r="AW25" i="1" a="1"/>
  <c r="AW25" i="1"/>
  <c r="AV25" i="1" a="1"/>
  <c r="AV25" i="1"/>
  <c r="AU25" i="1" a="1"/>
  <c r="AU25" i="1" s="1"/>
  <c r="AT25" i="1" a="1"/>
  <c r="AT25" i="1"/>
  <c r="AS25" i="1" a="1"/>
  <c r="AS25" i="1"/>
  <c r="AR25" i="1" a="1"/>
  <c r="AR25" i="1"/>
  <c r="AQ25" i="1" a="1"/>
  <c r="AQ25" i="1" s="1"/>
  <c r="AP25" i="1" a="1"/>
  <c r="AP25" i="1"/>
  <c r="AO25" i="1" a="1"/>
  <c r="AO25" i="1" s="1"/>
  <c r="AX24" i="1" a="1"/>
  <c r="AX24" i="1"/>
  <c r="AW24" i="1" a="1"/>
  <c r="AW24" i="1" s="1"/>
  <c r="AV24" i="1" a="1"/>
  <c r="AV24" i="1"/>
  <c r="AU24" i="1" a="1"/>
  <c r="AU24" i="1"/>
  <c r="AT24" i="1" a="1"/>
  <c r="AT24" i="1"/>
  <c r="AS24" i="1" a="1"/>
  <c r="AS24" i="1" s="1"/>
  <c r="AR24" i="1" a="1"/>
  <c r="AR24" i="1"/>
  <c r="AQ24" i="1" a="1"/>
  <c r="AQ24" i="1" s="1"/>
  <c r="AP24" i="1" a="1"/>
  <c r="AP24" i="1"/>
  <c r="AO24" i="1" a="1"/>
  <c r="AO24" i="1" s="1"/>
  <c r="AX23" i="1" a="1"/>
  <c r="AX23" i="1"/>
  <c r="AW23" i="1" a="1"/>
  <c r="AW23" i="1"/>
  <c r="AV23" i="1" a="1"/>
  <c r="AV23" i="1"/>
  <c r="AU23" i="1" a="1"/>
  <c r="AU23" i="1" s="1"/>
  <c r="AT23" i="1" a="1"/>
  <c r="AT23" i="1"/>
  <c r="AS23" i="1" a="1"/>
  <c r="AS23" i="1"/>
  <c r="AR23" i="1" a="1"/>
  <c r="AR23" i="1"/>
  <c r="AQ23" i="1" a="1"/>
  <c r="AQ23" i="1" s="1"/>
  <c r="AP23" i="1" a="1"/>
  <c r="AP23" i="1"/>
  <c r="AO23" i="1" a="1"/>
  <c r="AO23" i="1"/>
  <c r="J23" i="1"/>
  <c r="I23" i="1"/>
  <c r="H23" i="1"/>
  <c r="G23" i="1"/>
  <c r="F23" i="1"/>
  <c r="AX22" i="1" a="1"/>
  <c r="AX22" i="1"/>
  <c r="AW22" i="1" a="1"/>
  <c r="AW22" i="1" s="1"/>
  <c r="AV22" i="1" a="1"/>
  <c r="AV22" i="1"/>
  <c r="AU22" i="1" a="1"/>
  <c r="AU22" i="1"/>
  <c r="AT22" i="1" a="1"/>
  <c r="AT22" i="1"/>
  <c r="AS22" i="1" a="1"/>
  <c r="AS22" i="1" s="1"/>
  <c r="AR22" i="1" a="1"/>
  <c r="AR22" i="1"/>
  <c r="AQ22" i="1" a="1"/>
  <c r="AQ22" i="1"/>
  <c r="AP22" i="1" a="1"/>
  <c r="AP22" i="1" s="1"/>
  <c r="AO22" i="1" a="1"/>
  <c r="AO22" i="1" s="1"/>
  <c r="AX21" i="1" a="1"/>
  <c r="AX21" i="1"/>
  <c r="AW21" i="1" a="1"/>
  <c r="AW21" i="1"/>
  <c r="AV21" i="1" a="1"/>
  <c r="AV21" i="1" s="1"/>
  <c r="AU21" i="1" a="1"/>
  <c r="AU21" i="1" s="1"/>
  <c r="AT21" i="1" a="1"/>
  <c r="AT21" i="1"/>
  <c r="AS21" i="1" a="1"/>
  <c r="AS21" i="1"/>
  <c r="AR21" i="1" a="1"/>
  <c r="AR21" i="1" s="1"/>
  <c r="AQ21" i="1" a="1"/>
  <c r="AQ21" i="1" s="1"/>
  <c r="AP21" i="1" a="1"/>
  <c r="AP21" i="1"/>
  <c r="AO21" i="1" a="1"/>
  <c r="AO21" i="1"/>
  <c r="AX20" i="1" a="1"/>
  <c r="AX20" i="1"/>
  <c r="AW20" i="1" a="1"/>
  <c r="AW20" i="1" s="1"/>
  <c r="AV20" i="1" a="1"/>
  <c r="AV20" i="1"/>
  <c r="AU20" i="1" a="1"/>
  <c r="AU20" i="1"/>
  <c r="AT20" i="1" a="1"/>
  <c r="AT20" i="1"/>
  <c r="AS20" i="1" a="1"/>
  <c r="AS20" i="1" s="1"/>
  <c r="AR20" i="1" a="1"/>
  <c r="AR20" i="1"/>
  <c r="AQ20" i="1" a="1"/>
  <c r="AQ20" i="1"/>
  <c r="AP20" i="1" a="1"/>
  <c r="AP20" i="1"/>
  <c r="AO20" i="1" a="1"/>
  <c r="AO20" i="1" s="1"/>
  <c r="Y20" i="1"/>
  <c r="W20" i="1"/>
  <c r="AX19" i="1" a="1"/>
  <c r="AX19" i="1"/>
  <c r="AW19" i="1" a="1"/>
  <c r="AW19" i="1"/>
  <c r="AV19" i="1" a="1"/>
  <c r="AV19" i="1" s="1"/>
  <c r="AU19" i="1" a="1"/>
  <c r="AU19" i="1"/>
  <c r="AT19" i="1" a="1"/>
  <c r="AT19" i="1"/>
  <c r="AS19" i="1" a="1"/>
  <c r="AS19" i="1"/>
  <c r="AR19" i="1" a="1"/>
  <c r="AR19" i="1" s="1"/>
  <c r="AQ19" i="1" a="1"/>
  <c r="AQ19" i="1"/>
  <c r="AP19" i="1" a="1"/>
  <c r="AP19" i="1"/>
  <c r="AO19" i="1" a="1"/>
  <c r="AO19" i="1"/>
  <c r="AX18" i="1" a="1"/>
  <c r="AX18" i="1" s="1"/>
  <c r="AW18" i="1" a="1"/>
  <c r="AW18" i="1"/>
  <c r="AV18" i="1" a="1"/>
  <c r="AV18" i="1"/>
  <c r="AU18" i="1" a="1"/>
  <c r="AU18" i="1" s="1"/>
  <c r="AT18" i="1" a="1"/>
  <c r="AT18" i="1" s="1"/>
  <c r="AS18" i="1" a="1"/>
  <c r="AS18" i="1"/>
  <c r="AR18" i="1" a="1"/>
  <c r="AR18" i="1"/>
  <c r="AQ18" i="1" a="1"/>
  <c r="AQ18" i="1" s="1"/>
  <c r="AP18" i="1" a="1"/>
  <c r="AP18" i="1" s="1"/>
  <c r="AO18" i="1" a="1"/>
  <c r="AO18" i="1"/>
  <c r="J18" i="1"/>
  <c r="G18" i="1"/>
  <c r="F18" i="1"/>
  <c r="AX17" i="1" a="1"/>
  <c r="AX17" i="1" s="1"/>
  <c r="AW17" i="1" a="1"/>
  <c r="AW17" i="1"/>
  <c r="AV17" i="1" a="1"/>
  <c r="AV17" i="1" s="1"/>
  <c r="AU17" i="1" a="1"/>
  <c r="AU17" i="1"/>
  <c r="AT17" i="1" a="1"/>
  <c r="AT17" i="1"/>
  <c r="AS17" i="1" a="1"/>
  <c r="AS17" i="1"/>
  <c r="AR17" i="1" a="1"/>
  <c r="AR17" i="1" s="1"/>
  <c r="AQ17" i="1" a="1"/>
  <c r="AQ17" i="1"/>
  <c r="AP17" i="1" a="1"/>
  <c r="AP17" i="1"/>
  <c r="AO17" i="1" a="1"/>
  <c r="AO17" i="1"/>
  <c r="AX16" i="1" a="1"/>
  <c r="AX16" i="1" s="1"/>
  <c r="AW16" i="1" a="1"/>
  <c r="AW16" i="1"/>
  <c r="AV16" i="1" a="1"/>
  <c r="AV16" i="1"/>
  <c r="AU16" i="1" a="1"/>
  <c r="AU16" i="1"/>
  <c r="AT16" i="1" a="1"/>
  <c r="AT16" i="1" s="1"/>
  <c r="AS16" i="1" a="1"/>
  <c r="AS16" i="1"/>
  <c r="AR16" i="1" a="1"/>
  <c r="AR16" i="1"/>
  <c r="AQ16" i="1" a="1"/>
  <c r="AQ16" i="1"/>
  <c r="AP16" i="1" a="1"/>
  <c r="AP16" i="1" s="1"/>
  <c r="AO16" i="1" a="1"/>
  <c r="AO16" i="1"/>
  <c r="AX15" i="1" a="1"/>
  <c r="AX15" i="1"/>
  <c r="AW15" i="1" a="1"/>
  <c r="AW15" i="1"/>
  <c r="AV15" i="1" a="1"/>
  <c r="AV15" i="1" s="1"/>
  <c r="AU15" i="1" a="1"/>
  <c r="AU15" i="1"/>
  <c r="AT15" i="1" a="1"/>
  <c r="AT15" i="1" s="1"/>
  <c r="AS15" i="1" a="1"/>
  <c r="AS15" i="1"/>
  <c r="AR15" i="1" a="1"/>
  <c r="AR15" i="1" s="1"/>
  <c r="AQ15" i="1" a="1"/>
  <c r="AQ15" i="1"/>
  <c r="AP15" i="1" a="1"/>
  <c r="AP15" i="1" s="1"/>
  <c r="AO15" i="1" a="1"/>
  <c r="AO15" i="1"/>
  <c r="X15" i="1"/>
  <c r="AX14" i="1" a="1"/>
  <c r="AX14" i="1"/>
  <c r="AW14" i="1" a="1"/>
  <c r="AW14" i="1" s="1"/>
  <c r="AV14" i="1" a="1"/>
  <c r="AV14" i="1" s="1"/>
  <c r="AU14" i="1" a="1"/>
  <c r="AU14" i="1"/>
  <c r="AT14" i="1" a="1"/>
  <c r="AT14" i="1"/>
  <c r="AS14" i="1" a="1"/>
  <c r="AS14" i="1"/>
  <c r="AR14" i="1" a="1"/>
  <c r="AR14" i="1" s="1"/>
  <c r="AQ14" i="1" a="1"/>
  <c r="AQ14" i="1"/>
  <c r="AP14" i="1" a="1"/>
  <c r="AP14" i="1"/>
  <c r="AO14" i="1" a="1"/>
  <c r="AO14" i="1"/>
  <c r="AX13" i="1" a="1"/>
  <c r="AX13" i="1" s="1"/>
  <c r="AW13" i="1" a="1"/>
  <c r="AW13" i="1"/>
  <c r="AV13" i="1" a="1"/>
  <c r="AV13" i="1"/>
  <c r="AU13" i="1" a="1"/>
  <c r="AU13" i="1"/>
  <c r="AT13" i="1" a="1"/>
  <c r="AT13" i="1" s="1"/>
  <c r="AS13" i="1" a="1"/>
  <c r="AS13" i="1"/>
  <c r="AR13" i="1" a="1"/>
  <c r="AR13" i="1"/>
  <c r="AQ13" i="1" a="1"/>
  <c r="AQ13" i="1"/>
  <c r="AP13" i="1" a="1"/>
  <c r="AP13" i="1" s="1"/>
  <c r="AO13" i="1" a="1"/>
  <c r="AO13" i="1"/>
  <c r="F13" i="1"/>
  <c r="AX12" i="1" a="1"/>
  <c r="AX12" i="1" s="1"/>
  <c r="AW12" i="1" a="1"/>
  <c r="AW12" i="1"/>
  <c r="AV12" i="1" a="1"/>
  <c r="AV12" i="1"/>
  <c r="AU12" i="1" a="1"/>
  <c r="AU12" i="1" s="1"/>
  <c r="AT12" i="1" a="1"/>
  <c r="AT12" i="1" s="1"/>
  <c r="AS12" i="1" a="1"/>
  <c r="AS12" i="1"/>
  <c r="AR12" i="1" a="1"/>
  <c r="AR12" i="1"/>
  <c r="AQ12" i="1" a="1"/>
  <c r="AQ12" i="1" s="1"/>
  <c r="AP12" i="1" a="1"/>
  <c r="AP12" i="1" s="1"/>
  <c r="AO12" i="1" a="1"/>
  <c r="AO12" i="1" s="1"/>
  <c r="AX11" i="1" a="1"/>
  <c r="AX11" i="1"/>
  <c r="AW11" i="1" a="1"/>
  <c r="AW11" i="1" s="1"/>
  <c r="AV11" i="1" a="1"/>
  <c r="AV11" i="1"/>
  <c r="AU11" i="1" a="1"/>
  <c r="AU11" i="1" s="1"/>
  <c r="AT11" i="1" a="1"/>
  <c r="AT11" i="1"/>
  <c r="AS11" i="1" a="1"/>
  <c r="AS11" i="1" s="1"/>
  <c r="AR11" i="1" a="1"/>
  <c r="AR11" i="1"/>
  <c r="AQ11" i="1" a="1"/>
  <c r="AQ11" i="1" s="1"/>
  <c r="AP11" i="1" a="1"/>
  <c r="AP11" i="1"/>
  <c r="AO11" i="1" a="1"/>
  <c r="AO11" i="1" s="1"/>
  <c r="J11" i="1"/>
  <c r="I11" i="1"/>
  <c r="H11" i="1"/>
  <c r="F11" i="1"/>
  <c r="F102" i="1" s="1"/>
  <c r="AX10" i="1" a="1"/>
  <c r="AX10" i="1"/>
  <c r="AW10" i="1" a="1"/>
  <c r="AW10" i="1" s="1"/>
  <c r="AV10" i="1" a="1"/>
  <c r="AV10" i="1"/>
  <c r="AU10" i="1" a="1"/>
  <c r="AU10" i="1"/>
  <c r="AT10" i="1" a="1"/>
  <c r="AT10" i="1"/>
  <c r="AS10" i="1" a="1"/>
  <c r="AS10" i="1" s="1"/>
  <c r="AR10" i="1" a="1"/>
  <c r="AR10" i="1" s="1"/>
  <c r="AQ10" i="1" a="1"/>
  <c r="AQ10" i="1"/>
  <c r="AP10" i="1" a="1"/>
  <c r="AP10" i="1"/>
  <c r="AO10" i="1" a="1"/>
  <c r="AO10" i="1" s="1"/>
  <c r="AX9" i="1" a="1"/>
  <c r="AX9" i="1" s="1"/>
  <c r="AW9" i="1" a="1"/>
  <c r="AW9" i="1"/>
  <c r="AV9" i="1" a="1"/>
  <c r="AV9" i="1"/>
  <c r="AU9" i="1" a="1"/>
  <c r="AU9" i="1" s="1"/>
  <c r="AT9" i="1" a="1"/>
  <c r="AT9" i="1"/>
  <c r="AS9" i="1" a="1"/>
  <c r="AS9" i="1" s="1"/>
  <c r="AR9" i="1" a="1"/>
  <c r="AR9" i="1"/>
  <c r="AQ9" i="1" a="1"/>
  <c r="AQ9" i="1" s="1"/>
  <c r="AP9" i="1" a="1"/>
  <c r="AP9" i="1" s="1"/>
  <c r="AO9" i="1" a="1"/>
  <c r="AO9" i="1" s="1"/>
  <c r="J9" i="1"/>
  <c r="I9" i="1"/>
  <c r="H9" i="1"/>
  <c r="AX8" i="1" a="1"/>
  <c r="AX8" i="1"/>
  <c r="AW8" i="1" a="1"/>
  <c r="AW8" i="1"/>
  <c r="AV8" i="1" a="1"/>
  <c r="AV8" i="1" s="1"/>
  <c r="AU8" i="1" a="1"/>
  <c r="AU8" i="1"/>
  <c r="AT8" i="1" a="1"/>
  <c r="AT8" i="1"/>
  <c r="AS8" i="1" a="1"/>
  <c r="AS8" i="1" s="1"/>
  <c r="AR8" i="1" a="1"/>
  <c r="AR8" i="1" s="1"/>
  <c r="AQ8" i="1" a="1"/>
  <c r="AQ8" i="1"/>
  <c r="AP8" i="1" a="1"/>
  <c r="AP8" i="1"/>
  <c r="AO8" i="1" a="1"/>
  <c r="AO8" i="1"/>
  <c r="X8" i="1"/>
  <c r="AX7" i="1" a="1"/>
  <c r="AX7" i="1"/>
  <c r="AW7" i="1" a="1"/>
  <c r="AW7" i="1" s="1"/>
  <c r="AV7" i="1" a="1"/>
  <c r="AV7" i="1"/>
  <c r="AU7" i="1" a="1"/>
  <c r="AU7" i="1"/>
  <c r="AT7" i="1" a="1"/>
  <c r="AT7" i="1"/>
  <c r="AS7" i="1" a="1"/>
  <c r="AS7" i="1" s="1"/>
  <c r="AR7" i="1" a="1"/>
  <c r="AR7" i="1"/>
  <c r="AQ7" i="1" a="1"/>
  <c r="AQ7" i="1"/>
  <c r="AP7" i="1" a="1"/>
  <c r="AP7" i="1"/>
  <c r="AO7" i="1" a="1"/>
  <c r="AO7" i="1" s="1"/>
  <c r="AX6" i="1" a="1"/>
  <c r="AX6" i="1" s="1"/>
  <c r="AW6" i="1" a="1"/>
  <c r="AW6" i="1"/>
  <c r="AV6" i="1" a="1"/>
  <c r="AV6" i="1"/>
  <c r="AU6" i="1" a="1"/>
  <c r="AU6" i="1" s="1"/>
  <c r="AT6" i="1" a="1"/>
  <c r="AT6" i="1" s="1"/>
  <c r="AS6" i="1" a="1"/>
  <c r="AS6" i="1"/>
  <c r="AR6" i="1" a="1"/>
  <c r="AR6" i="1"/>
  <c r="AQ6" i="1" a="1"/>
  <c r="AQ6" i="1" s="1"/>
  <c r="AP6" i="1" a="1"/>
  <c r="AP6" i="1"/>
  <c r="AO6" i="1" a="1"/>
  <c r="AO6" i="1" s="1"/>
  <c r="AX5" i="1" a="1"/>
  <c r="AX5" i="1"/>
  <c r="AW5" i="1" a="1"/>
  <c r="AW5" i="1" s="1"/>
  <c r="AV5" i="1" a="1"/>
  <c r="AV5" i="1" s="1"/>
  <c r="AU5" i="1" a="1"/>
  <c r="AU5" i="1" s="1"/>
  <c r="AT5" i="1" a="1"/>
  <c r="AT5" i="1"/>
  <c r="AS5" i="1" a="1"/>
  <c r="AS5" i="1" s="1"/>
  <c r="AR5" i="1" a="1"/>
  <c r="AR5" i="1"/>
  <c r="AQ5" i="1" a="1"/>
  <c r="AQ5" i="1" s="1"/>
  <c r="AP5" i="1" a="1"/>
  <c r="AP5" i="1"/>
  <c r="AO5" i="1" a="1"/>
  <c r="AO5" i="1" s="1"/>
  <c r="AX4" i="1" a="1"/>
  <c r="AX4" i="1"/>
  <c r="AW4" i="1" a="1"/>
  <c r="AW4" i="1" s="1"/>
  <c r="AV4" i="1" a="1"/>
  <c r="AV4" i="1"/>
  <c r="AU4" i="1" a="1"/>
  <c r="AU4" i="1" s="1"/>
  <c r="AT4" i="1" a="1"/>
  <c r="AT4" i="1"/>
  <c r="AS4" i="1" a="1"/>
  <c r="AS4" i="1"/>
  <c r="AR4" i="1" a="1"/>
  <c r="AR4" i="1"/>
  <c r="AQ4" i="1" a="1"/>
  <c r="AQ4" i="1" s="1"/>
  <c r="AP4" i="1" a="1"/>
  <c r="AP4" i="1"/>
  <c r="AO4" i="1" a="1"/>
  <c r="AO4" i="1"/>
  <c r="AX3" i="1" a="1"/>
  <c r="AX3" i="1"/>
  <c r="AW3" i="1" a="1"/>
  <c r="AW3" i="1" s="1"/>
  <c r="AV3" i="1" a="1"/>
  <c r="AV3" i="1" s="1"/>
  <c r="AU3" i="1" a="1"/>
  <c r="AU3" i="1"/>
  <c r="AT3" i="1" a="1"/>
  <c r="AT3" i="1"/>
  <c r="AS3" i="1" a="1"/>
  <c r="AS3" i="1" s="1"/>
  <c r="AR3" i="1" a="1"/>
  <c r="AR3" i="1" s="1"/>
  <c r="AQ3" i="1" a="1"/>
  <c r="AQ3" i="1"/>
  <c r="AP3" i="1" a="1"/>
  <c r="AP3" i="1"/>
  <c r="AO3" i="1" a="1"/>
  <c r="AO3" i="1" s="1"/>
  <c r="AX2" i="1" a="1"/>
  <c r="AX2" i="1" s="1"/>
  <c r="AW2" i="1" a="1"/>
  <c r="AW2" i="1" s="1"/>
  <c r="AV2" i="1" a="1"/>
  <c r="AV2" i="1"/>
  <c r="AU2" i="1" a="1"/>
  <c r="AU2" i="1" s="1"/>
  <c r="AT2" i="1" a="1"/>
  <c r="AT2" i="1" s="1"/>
  <c r="AS2" i="1" a="1"/>
  <c r="AS2" i="1" s="1"/>
  <c r="AR2" i="1" a="1"/>
  <c r="AR2" i="1"/>
  <c r="AQ2" i="1" a="1"/>
  <c r="AQ2" i="1"/>
  <c r="AP2" i="1" a="1"/>
  <c r="AP2" i="1" s="1"/>
  <c r="AO2" i="1" a="1"/>
  <c r="AO2" i="1" s="1"/>
  <c r="A1" i="3" l="1" a="1"/>
  <c r="H102" i="1"/>
  <c r="G102" i="1"/>
  <c r="G103" i="1" s="1"/>
  <c r="C40" i="7"/>
  <c r="K40" i="6"/>
  <c r="L40" i="6"/>
  <c r="K295" i="6"/>
  <c r="C295" i="7"/>
  <c r="L295" i="6"/>
  <c r="I102" i="1"/>
  <c r="J102" i="1"/>
  <c r="K38" i="6"/>
  <c r="C38" i="7"/>
  <c r="K246" i="6"/>
  <c r="C246" i="7"/>
  <c r="L38" i="6"/>
  <c r="L246" i="6"/>
  <c r="K245" i="6"/>
  <c r="C245" i="7"/>
  <c r="I103" i="1" l="1"/>
  <c r="F103" i="1"/>
  <c r="H103" i="1"/>
  <c r="A100" i="3"/>
  <c r="C98" i="3"/>
  <c r="E96" i="3"/>
  <c r="B95" i="3"/>
  <c r="D93" i="3"/>
  <c r="A92" i="3"/>
  <c r="C90" i="3"/>
  <c r="E88" i="3"/>
  <c r="B87" i="3"/>
  <c r="D85" i="3"/>
  <c r="A84" i="3"/>
  <c r="C82" i="3"/>
  <c r="E80" i="3"/>
  <c r="B79" i="3"/>
  <c r="D77" i="3"/>
  <c r="A76" i="3"/>
  <c r="C74" i="3"/>
  <c r="E72" i="3"/>
  <c r="B71" i="3"/>
  <c r="D69" i="3"/>
  <c r="A68" i="3"/>
  <c r="C66" i="3"/>
  <c r="E64" i="3"/>
  <c r="B63" i="3"/>
  <c r="D61" i="3"/>
  <c r="A60" i="3"/>
  <c r="C58" i="3"/>
  <c r="E56" i="3"/>
  <c r="B55" i="3"/>
  <c r="D53" i="3"/>
  <c r="A52" i="3"/>
  <c r="C50" i="3"/>
  <c r="E48" i="3"/>
  <c r="B47" i="3"/>
  <c r="D45" i="3"/>
  <c r="A44" i="3"/>
  <c r="C42" i="3"/>
  <c r="E40" i="3"/>
  <c r="B39" i="3"/>
  <c r="D37" i="3"/>
  <c r="A36" i="3"/>
  <c r="C34" i="3"/>
  <c r="E32" i="3"/>
  <c r="B31" i="3"/>
  <c r="D29" i="3"/>
  <c r="A28" i="3"/>
  <c r="C26" i="3"/>
  <c r="E24" i="3"/>
  <c r="B23" i="3"/>
  <c r="D21" i="3"/>
  <c r="A20" i="3"/>
  <c r="C18" i="3"/>
  <c r="E16" i="3"/>
  <c r="B15" i="3"/>
  <c r="D13" i="3"/>
  <c r="A12" i="3"/>
  <c r="C10" i="3"/>
  <c r="E8" i="3"/>
  <c r="B7" i="3"/>
  <c r="D5" i="3"/>
  <c r="A4" i="3"/>
  <c r="C2" i="3"/>
  <c r="A1" i="3"/>
  <c r="E99" i="3"/>
  <c r="B98" i="3"/>
  <c r="D96" i="3"/>
  <c r="A95" i="3"/>
  <c r="C93" i="3"/>
  <c r="E91" i="3"/>
  <c r="B90" i="3"/>
  <c r="D88" i="3"/>
  <c r="A87" i="3"/>
  <c r="C85" i="3"/>
  <c r="E83" i="3"/>
  <c r="B82" i="3"/>
  <c r="D80" i="3"/>
  <c r="A79" i="3"/>
  <c r="C77" i="3"/>
  <c r="E75" i="3"/>
  <c r="B74" i="3"/>
  <c r="D72" i="3"/>
  <c r="A71" i="3"/>
  <c r="C69" i="3"/>
  <c r="E67" i="3"/>
  <c r="B66" i="3"/>
  <c r="D64" i="3"/>
  <c r="A63" i="3"/>
  <c r="C61" i="3"/>
  <c r="E59" i="3"/>
  <c r="B58" i="3"/>
  <c r="D56" i="3"/>
  <c r="A55" i="3"/>
  <c r="C53" i="3"/>
  <c r="E51" i="3"/>
  <c r="B50" i="3"/>
  <c r="D48" i="3"/>
  <c r="A47" i="3"/>
  <c r="C45" i="3"/>
  <c r="E43" i="3"/>
  <c r="B42" i="3"/>
  <c r="D40" i="3"/>
  <c r="A39" i="3"/>
  <c r="C37" i="3"/>
  <c r="E35" i="3"/>
  <c r="B34" i="3"/>
  <c r="D32" i="3"/>
  <c r="A31" i="3"/>
  <c r="C29" i="3"/>
  <c r="E27" i="3"/>
  <c r="B26" i="3"/>
  <c r="D24" i="3"/>
  <c r="A23" i="3"/>
  <c r="C21" i="3"/>
  <c r="E19" i="3"/>
  <c r="B18" i="3"/>
  <c r="D16" i="3"/>
  <c r="A15" i="3"/>
  <c r="C13" i="3"/>
  <c r="E11" i="3"/>
  <c r="B10" i="3"/>
  <c r="D8" i="3"/>
  <c r="A7" i="3"/>
  <c r="C5" i="3"/>
  <c r="E3" i="3"/>
  <c r="B2" i="3"/>
  <c r="E100" i="3"/>
  <c r="B99" i="3"/>
  <c r="D97" i="3"/>
  <c r="A96" i="3"/>
  <c r="C94" i="3"/>
  <c r="E92" i="3"/>
  <c r="B91" i="3"/>
  <c r="D89" i="3"/>
  <c r="A88" i="3"/>
  <c r="C86" i="3"/>
  <c r="E84" i="3"/>
  <c r="B83" i="3"/>
  <c r="D81" i="3"/>
  <c r="A80" i="3"/>
  <c r="C78" i="3"/>
  <c r="E76" i="3"/>
  <c r="B75" i="3"/>
  <c r="D73" i="3"/>
  <c r="A72" i="3"/>
  <c r="C70" i="3"/>
  <c r="E68" i="3"/>
  <c r="B67" i="3"/>
  <c r="D65" i="3"/>
  <c r="A64" i="3"/>
  <c r="C62" i="3"/>
  <c r="E60" i="3"/>
  <c r="B59" i="3"/>
  <c r="D57" i="3"/>
  <c r="A56" i="3"/>
  <c r="C54" i="3"/>
  <c r="E52" i="3"/>
  <c r="B51" i="3"/>
  <c r="D49" i="3"/>
  <c r="A48" i="3"/>
  <c r="C46" i="3"/>
  <c r="E44" i="3"/>
  <c r="B43" i="3"/>
  <c r="D41" i="3"/>
  <c r="A40" i="3"/>
  <c r="C38" i="3"/>
  <c r="E36" i="3"/>
  <c r="B35" i="3"/>
  <c r="D33" i="3"/>
  <c r="A32" i="3"/>
  <c r="C30" i="3"/>
  <c r="E28" i="3"/>
  <c r="B27" i="3"/>
  <c r="D25" i="3"/>
  <c r="A24" i="3"/>
  <c r="C22" i="3"/>
  <c r="E20" i="3"/>
  <c r="B19" i="3"/>
  <c r="D17" i="3"/>
  <c r="A16" i="3"/>
  <c r="C14" i="3"/>
  <c r="E12" i="3"/>
  <c r="B11" i="3"/>
  <c r="D9" i="3"/>
  <c r="A8" i="3"/>
  <c r="C6" i="3"/>
  <c r="E4" i="3"/>
  <c r="B3" i="3"/>
  <c r="D1" i="3"/>
  <c r="C100" i="3"/>
  <c r="E98" i="3"/>
  <c r="B97" i="3"/>
  <c r="D95" i="3"/>
  <c r="A94" i="3"/>
  <c r="C92" i="3"/>
  <c r="E90" i="3"/>
  <c r="B89" i="3"/>
  <c r="D87" i="3"/>
  <c r="A86" i="3"/>
  <c r="C84" i="3"/>
  <c r="E82" i="3"/>
  <c r="B81" i="3"/>
  <c r="D79" i="3"/>
  <c r="A78" i="3"/>
  <c r="C76" i="3"/>
  <c r="E74" i="3"/>
  <c r="B73" i="3"/>
  <c r="D71" i="3"/>
  <c r="A70" i="3"/>
  <c r="C68" i="3"/>
  <c r="E66" i="3"/>
  <c r="B65" i="3"/>
  <c r="D63" i="3"/>
  <c r="A62" i="3"/>
  <c r="C60" i="3"/>
  <c r="E58" i="3"/>
  <c r="B57" i="3"/>
  <c r="D55" i="3"/>
  <c r="A54" i="3"/>
  <c r="C52" i="3"/>
  <c r="E50" i="3"/>
  <c r="B49" i="3"/>
  <c r="D47" i="3"/>
  <c r="A46" i="3"/>
  <c r="C44" i="3"/>
  <c r="E42" i="3"/>
  <c r="B41" i="3"/>
  <c r="D39" i="3"/>
  <c r="A38" i="3"/>
  <c r="C36" i="3"/>
  <c r="E34" i="3"/>
  <c r="B33" i="3"/>
  <c r="D31" i="3"/>
  <c r="A30" i="3"/>
  <c r="C28" i="3"/>
  <c r="E26" i="3"/>
  <c r="B25" i="3"/>
  <c r="D23" i="3"/>
  <c r="A22" i="3"/>
  <c r="C20" i="3"/>
  <c r="E18" i="3"/>
  <c r="B17" i="3"/>
  <c r="D15" i="3"/>
  <c r="A14" i="3"/>
  <c r="C12" i="3"/>
  <c r="E10" i="3"/>
  <c r="B9" i="3"/>
  <c r="D7" i="3"/>
  <c r="A6" i="3"/>
  <c r="C4" i="3"/>
  <c r="E2" i="3"/>
  <c r="B1" i="3"/>
  <c r="A98" i="3"/>
  <c r="E94" i="3"/>
  <c r="D91" i="3"/>
  <c r="C88" i="3"/>
  <c r="B85" i="3"/>
  <c r="A82" i="3"/>
  <c r="E78" i="3"/>
  <c r="D75" i="3"/>
  <c r="C72" i="3"/>
  <c r="B69" i="3"/>
  <c r="A66" i="3"/>
  <c r="E62" i="3"/>
  <c r="D59" i="3"/>
  <c r="C56" i="3"/>
  <c r="B53" i="3"/>
  <c r="A50" i="3"/>
  <c r="E46" i="3"/>
  <c r="D43" i="3"/>
  <c r="C40" i="3"/>
  <c r="B37" i="3"/>
  <c r="A34" i="3"/>
  <c r="E30" i="3"/>
  <c r="D27" i="3"/>
  <c r="C24" i="3"/>
  <c r="B21" i="3"/>
  <c r="A18" i="3"/>
  <c r="E14" i="3"/>
  <c r="D11" i="3"/>
  <c r="C8" i="3"/>
  <c r="B5" i="3"/>
  <c r="A2" i="3"/>
  <c r="E97" i="3"/>
  <c r="D94" i="3"/>
  <c r="C91" i="3"/>
  <c r="B88" i="3"/>
  <c r="A85" i="3"/>
  <c r="E81" i="3"/>
  <c r="D78" i="3"/>
  <c r="C75" i="3"/>
  <c r="B72" i="3"/>
  <c r="A69" i="3"/>
  <c r="E65" i="3"/>
  <c r="D62" i="3"/>
  <c r="C59" i="3"/>
  <c r="B56" i="3"/>
  <c r="A53" i="3"/>
  <c r="E49" i="3"/>
  <c r="D46" i="3"/>
  <c r="C43" i="3"/>
  <c r="B40" i="3"/>
  <c r="A37" i="3"/>
  <c r="E33" i="3"/>
  <c r="D30" i="3"/>
  <c r="C27" i="3"/>
  <c r="B24" i="3"/>
  <c r="A21" i="3"/>
  <c r="E17" i="3"/>
  <c r="D14" i="3"/>
  <c r="C11" i="3"/>
  <c r="B8" i="3"/>
  <c r="A5" i="3"/>
  <c r="E1" i="3"/>
  <c r="D100" i="3"/>
  <c r="C97" i="3"/>
  <c r="B94" i="3"/>
  <c r="A91" i="3"/>
  <c r="E87" i="3"/>
  <c r="D84" i="3"/>
  <c r="C81" i="3"/>
  <c r="B78" i="3"/>
  <c r="A75" i="3"/>
  <c r="E71" i="3"/>
  <c r="D68" i="3"/>
  <c r="C65" i="3"/>
  <c r="B62" i="3"/>
  <c r="A59" i="3"/>
  <c r="E55" i="3"/>
  <c r="D52" i="3"/>
  <c r="C49" i="3"/>
  <c r="B46" i="3"/>
  <c r="A43" i="3"/>
  <c r="E39" i="3"/>
  <c r="D36" i="3"/>
  <c r="C33" i="3"/>
  <c r="B30" i="3"/>
  <c r="A27" i="3"/>
  <c r="E23" i="3"/>
  <c r="D20" i="3"/>
  <c r="C17" i="3"/>
  <c r="B14" i="3"/>
  <c r="A11" i="3"/>
  <c r="E7" i="3"/>
  <c r="D4" i="3"/>
  <c r="C1" i="3"/>
  <c r="D99" i="3"/>
  <c r="C96" i="3"/>
  <c r="B93" i="3"/>
  <c r="A90" i="3"/>
  <c r="E86" i="3"/>
  <c r="D83" i="3"/>
  <c r="C80" i="3"/>
  <c r="B77" i="3"/>
  <c r="A74" i="3"/>
  <c r="E70" i="3"/>
  <c r="D67" i="3"/>
  <c r="C64" i="3"/>
  <c r="B61" i="3"/>
  <c r="A58" i="3"/>
  <c r="E54" i="3"/>
  <c r="D51" i="3"/>
  <c r="C48" i="3"/>
  <c r="B45" i="3"/>
  <c r="A42" i="3"/>
  <c r="E38" i="3"/>
  <c r="D35" i="3"/>
  <c r="C32" i="3"/>
  <c r="B29" i="3"/>
  <c r="A26" i="3"/>
  <c r="E22" i="3"/>
  <c r="D19" i="3"/>
  <c r="C16" i="3"/>
  <c r="B13" i="3"/>
  <c r="A10" i="3"/>
  <c r="E6" i="3"/>
  <c r="D3" i="3"/>
  <c r="C99" i="3"/>
  <c r="B96" i="3"/>
  <c r="A93" i="3"/>
  <c r="E89" i="3"/>
  <c r="D86" i="3"/>
  <c r="C83" i="3"/>
  <c r="B80" i="3"/>
  <c r="A77" i="3"/>
  <c r="E73" i="3"/>
  <c r="D70" i="3"/>
  <c r="C67" i="3"/>
  <c r="B64" i="3"/>
  <c r="A61" i="3"/>
  <c r="E57" i="3"/>
  <c r="D54" i="3"/>
  <c r="C51" i="3"/>
  <c r="B48" i="3"/>
  <c r="A45" i="3"/>
  <c r="E41" i="3"/>
  <c r="D38" i="3"/>
  <c r="C35" i="3"/>
  <c r="B32" i="3"/>
  <c r="A29" i="3"/>
  <c r="E25" i="3"/>
  <c r="D22" i="3"/>
  <c r="C19" i="3"/>
  <c r="B16" i="3"/>
  <c r="A13" i="3"/>
  <c r="E9" i="3"/>
  <c r="D6" i="3"/>
  <c r="C3" i="3"/>
  <c r="A97" i="3"/>
  <c r="A89" i="3"/>
  <c r="E79" i="3"/>
  <c r="C71" i="3"/>
  <c r="C63" i="3"/>
  <c r="B54" i="3"/>
  <c r="E45" i="3"/>
  <c r="E37" i="3"/>
  <c r="D28" i="3"/>
  <c r="B20" i="3"/>
  <c r="B12" i="3"/>
  <c r="A3" i="3"/>
  <c r="E95" i="3"/>
  <c r="C87" i="3"/>
  <c r="C79" i="3"/>
  <c r="B70" i="3"/>
  <c r="E61" i="3"/>
  <c r="E53" i="3"/>
  <c r="D44" i="3"/>
  <c r="B36" i="3"/>
  <c r="B28" i="3"/>
  <c r="A19" i="3"/>
  <c r="D10" i="3"/>
  <c r="D2" i="3"/>
  <c r="C95" i="3"/>
  <c r="B86" i="3"/>
  <c r="E77" i="3"/>
  <c r="E69" i="3"/>
  <c r="D60" i="3"/>
  <c r="B52" i="3"/>
  <c r="B44" i="3"/>
  <c r="A35" i="3"/>
  <c r="D26" i="3"/>
  <c r="D18" i="3"/>
  <c r="C9" i="3"/>
  <c r="D92" i="3"/>
  <c r="B84" i="3"/>
  <c r="B76" i="3"/>
  <c r="A67" i="3"/>
  <c r="D58" i="3"/>
  <c r="D50" i="3"/>
  <c r="C41" i="3"/>
  <c r="A33" i="3"/>
  <c r="A25" i="3"/>
  <c r="E15" i="3"/>
  <c r="C7" i="3"/>
  <c r="B92" i="3"/>
  <c r="D90" i="3"/>
  <c r="C73" i="3"/>
  <c r="A57" i="3"/>
  <c r="C39" i="3"/>
  <c r="B22" i="3"/>
  <c r="E5" i="3"/>
  <c r="C89" i="3"/>
  <c r="A73" i="3"/>
  <c r="C55" i="3"/>
  <c r="B38" i="3"/>
  <c r="E21" i="3"/>
  <c r="B4" i="3"/>
  <c r="B100" i="3"/>
  <c r="A83" i="3"/>
  <c r="D66" i="3"/>
  <c r="A49" i="3"/>
  <c r="E31" i="3"/>
  <c r="C15" i="3"/>
  <c r="A99" i="3"/>
  <c r="D82" i="3"/>
  <c r="A65" i="3"/>
  <c r="E47" i="3"/>
  <c r="C31" i="3"/>
  <c r="E13" i="3"/>
  <c r="D76" i="3"/>
  <c r="D42" i="3"/>
  <c r="A9" i="3"/>
  <c r="D74" i="3"/>
  <c r="A41" i="3"/>
  <c r="B6" i="3"/>
  <c r="A81" i="3"/>
  <c r="B68" i="3"/>
  <c r="D34" i="3"/>
  <c r="D12" i="3"/>
  <c r="E63" i="3"/>
  <c r="E29" i="3"/>
  <c r="D98" i="3"/>
  <c r="B60" i="3"/>
  <c r="C25" i="3"/>
  <c r="E85" i="3"/>
  <c r="A17" i="3"/>
  <c r="E93" i="3"/>
  <c r="C57" i="3"/>
  <c r="C23" i="3"/>
  <c r="A51" i="3"/>
  <c r="C4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7000000}">
      <text>
        <r>
          <rPr>
            <sz val="10"/>
            <color rgb="FF000000"/>
            <rFont val="Calibri"/>
            <family val="2"/>
            <scheme val="minor"/>
          </rPr>
          <t>Beskriver hur företags aktiekurser påverkas av förvärv och nedskrivningar av Goodwill. I artikeln kommer dem fram till två huvudsakliga insikter (1) Företag som köper många företag har ett starkt incitament till att betala överpris och att detta leder till stora Goodwill poster. 
(2) Det finns ett tydligt mönster av företag som köper till överpris kommer att behöva göra en nedskrivning.
	-Philip Justinus Berlin
----
Huvudargumentet i artikeln är att det finns tecken på att företag utnyttjar sin handlingsfrihet för att välja en lägre diskonteringsränta än vad som är motiverat utifrån företagets riskprofil. Detta görs för att undvika nedskrivningar, som kan ha en negativ inverkan på företagets resultaträkning och aktiekurs
	-Philip Justinus Berlin
----
Artikeln noterar att det finns en stor variation i diskonteringsräntor som används av olika företag och att många företag inte ger tillräckliga upplysningar om hur de har fastställt sina diskonteringsräntor.
Författarna till artikeln granskade ett stort antal företags årsredovisningar och fann att det finns en betydande variation i de diskonteringsräntor som används. De flesta företag redovisar inte den faktiska diskonteringsräntan de använt, vilket gör det svårt att jämföra resultaten mellan olika företag.Artikeln rekommenderar att alla företag bör redovisa sina diskonteringsräntor samt ge en kort beskrivning av hur de har fastställts. Detta skulle öka transparensen och jämförbarheten.
Det framkommer också att diskonteringsräntorna bör spegla den vägda genomsnittliga kapitalkostnaden WACC för rapporteringsenheten och ta hänsyn till risken på den specifika nivån. Artikeln noterar att det finns en viss logik i att diskonteringsräntorna varierar beroende på bransch och riskprofil, men att bristen på transparens gör det svårt att bedöma om variationen är rimlig.
	-Philip Justinus Berlin</t>
        </r>
      </text>
    </comment>
    <comment ref="A25" authorId="0" shapeId="0" xr:uid="{00000000-0006-0000-0000-000006000000}">
      <text>
        <r>
          <rPr>
            <sz val="10"/>
            <color rgb="FF000000"/>
            <rFont val="Calibri"/>
            <family val="2"/>
            <scheme val="minor"/>
          </rPr>
          <t>Har ej goodwill
	-adla kulaglic</t>
        </r>
      </text>
    </comment>
    <comment ref="A30" authorId="0" shapeId="0" xr:uid="{00000000-0006-0000-0000-000005000000}">
      <text>
        <r>
          <rPr>
            <sz val="10"/>
            <color rgb="FF000000"/>
            <rFont val="Calibri"/>
            <family val="2"/>
            <scheme val="minor"/>
          </rPr>
          <t>Har ej goodwill
	-adla kulaglic
----
Finns ej goodwill
	-adla kulaglic</t>
        </r>
      </text>
    </comment>
    <comment ref="J31" authorId="0" shapeId="0" xr:uid="{00000000-0006-0000-0000-000001000000}">
      <text>
        <r>
          <rPr>
            <sz val="10"/>
            <color rgb="FF000000"/>
            <rFont val="Calibri"/>
            <family val="2"/>
            <scheme val="minor"/>
          </rPr>
          <t>ej börsnoterade 2019
	-Philip Justinus Berlin</t>
        </r>
      </text>
    </comment>
    <comment ref="A39" authorId="0" shapeId="0" xr:uid="{00000000-0006-0000-0000-000004000000}">
      <text>
        <r>
          <rPr>
            <sz val="10"/>
            <color rgb="FF000000"/>
            <rFont val="Calibri"/>
            <family val="2"/>
            <scheme val="minor"/>
          </rPr>
          <t>Har ej goodwill
	-adla kulaglic</t>
        </r>
      </text>
    </comment>
    <comment ref="A40" authorId="0" shapeId="0" xr:uid="{00000000-0006-0000-0000-000003000000}">
      <text>
        <r>
          <rPr>
            <sz val="10"/>
            <color rgb="FF000000"/>
            <rFont val="Calibri"/>
            <family val="2"/>
            <scheme val="minor"/>
          </rPr>
          <t>Har ej Goodwill
	-adla kulaglic</t>
        </r>
      </text>
    </comment>
    <comment ref="A102" authorId="0" shapeId="0" xr:uid="{00000000-0006-0000-0000-000002000000}">
      <text>
        <r>
          <rPr>
            <sz val="10"/>
            <color rgb="FF000000"/>
            <rFont val="Calibri"/>
            <family val="2"/>
            <scheme val="minor"/>
          </rPr>
          <t>ej goodwill
	-adla kulaglic
----
ej goodwill
	-adla kulaglic
----
ej goodwill
	-adla kulaglic
----
har ej goodwill
	-adla kulaglic
----
Har ej goodwill
	-adla kulaglic
----
Har ej goodwill
	-adla kulaglic
----
har ej goodwill
	-adla kulaglic
----
Har ej goodwill
	-adla kulaglic
----
Köptes av SBB
	-Philip Justinus Berlin
----
Redovisar ej WACC
	-adla kulaglic
----
Har ej Goodwill
	-adla kulaglic
----
Redovisar ej WACC
	-adla kulaglic
----
Visar inte uträkning
	-Philip Justinus Berlin
----
Ingen GW
	-Philip Justinus Berlin
----
Hittar inte för 2020 och 2019
	-adla kulaglic</t>
        </r>
      </text>
    </comment>
  </commentList>
</comments>
</file>

<file path=xl/sharedStrings.xml><?xml version="1.0" encoding="utf-8"?>
<sst xmlns="http://schemas.openxmlformats.org/spreadsheetml/2006/main" count="1204" uniqueCount="482">
  <si>
    <t>FÖRETAG</t>
  </si>
  <si>
    <t>Organisationsnummer</t>
  </si>
  <si>
    <t>ISIN</t>
  </si>
  <si>
    <t>LAND</t>
  </si>
  <si>
    <t>BRANSCH</t>
  </si>
  <si>
    <t>WACC23</t>
  </si>
  <si>
    <t>WACC22</t>
  </si>
  <si>
    <t>WACC21</t>
  </si>
  <si>
    <t>WACC20</t>
  </si>
  <si>
    <t>WACC19</t>
  </si>
  <si>
    <t>INF23</t>
  </si>
  <si>
    <t>INF22</t>
  </si>
  <si>
    <t>INF21</t>
  </si>
  <si>
    <t>INF20</t>
  </si>
  <si>
    <t>INF19</t>
  </si>
  <si>
    <t>SR19</t>
  </si>
  <si>
    <t>SR20</t>
  </si>
  <si>
    <t>SR21</t>
  </si>
  <si>
    <t>SR22</t>
  </si>
  <si>
    <t>SR23</t>
  </si>
  <si>
    <t>GWN23 (Tkr)</t>
  </si>
  <si>
    <t>GWN22 (Tkr)</t>
  </si>
  <si>
    <t>GWN21 (Tkr)</t>
  </si>
  <si>
    <t>GWN20 (Tkr)</t>
  </si>
  <si>
    <t>GWN19 (Tkr)</t>
  </si>
  <si>
    <t>Anställda_n_23</t>
  </si>
  <si>
    <t>Anställda_n_22</t>
  </si>
  <si>
    <t>Anställda_n_21</t>
  </si>
  <si>
    <t>Anställda_n_20</t>
  </si>
  <si>
    <t>Anställda_n_19</t>
  </si>
  <si>
    <t>EBITDA_tkr_23</t>
  </si>
  <si>
    <t>EBITDA_tkr_22</t>
  </si>
  <si>
    <t>EBITDA_tkr_21</t>
  </si>
  <si>
    <t>EBITDA_tkr_20</t>
  </si>
  <si>
    <t>EBITDA_tkr_19</t>
  </si>
  <si>
    <t>SGR_%_23</t>
  </si>
  <si>
    <t>SGR_%_22</t>
  </si>
  <si>
    <t>SGR_%_21</t>
  </si>
  <si>
    <t>SGR_%_20</t>
  </si>
  <si>
    <t>SGR_%_19</t>
  </si>
  <si>
    <t>VM_%_23</t>
  </si>
  <si>
    <t>VM_%_22</t>
  </si>
  <si>
    <t>VM_%_21</t>
  </si>
  <si>
    <t>VM_%_20</t>
  </si>
  <si>
    <t>VM_%_19</t>
  </si>
  <si>
    <t>OMS_tkr_23</t>
  </si>
  <si>
    <t>OMS_tkr_22</t>
  </si>
  <si>
    <t>OMS_tkr_21</t>
  </si>
  <si>
    <t>OMS_tkr_20</t>
  </si>
  <si>
    <t>OMS_tkr_19</t>
  </si>
  <si>
    <t>GW_tkr_23</t>
  </si>
  <si>
    <t>GW_tkr_22</t>
  </si>
  <si>
    <t>GW_tkr_21</t>
  </si>
  <si>
    <t>GW_tkr_20</t>
  </si>
  <si>
    <t>GW_tkr_19</t>
  </si>
  <si>
    <t>TT_tkr_2023</t>
  </si>
  <si>
    <t>TT_tkr_2022</t>
  </si>
  <si>
    <t>TT_tkr_2021</t>
  </si>
  <si>
    <t>TT_tkr_2020</t>
  </si>
  <si>
    <t>TT_tkr_2019</t>
  </si>
  <si>
    <t>S:EK_tkr_23</t>
  </si>
  <si>
    <t>S:EK_tkr_22</t>
  </si>
  <si>
    <t>S:EK_tkr_21</t>
  </si>
  <si>
    <t>S:EK_tkr_20</t>
  </si>
  <si>
    <t>S:EK_tkr_19</t>
  </si>
  <si>
    <t>AAK AB (publ)</t>
  </si>
  <si>
    <t>SE0011337708</t>
  </si>
  <si>
    <t>SWE</t>
  </si>
  <si>
    <t>Företagstjänster</t>
  </si>
  <si>
    <t>Addtech AB</t>
  </si>
  <si>
    <t>SE0014781795</t>
  </si>
  <si>
    <t>AFRY AB</t>
  </si>
  <si>
    <t>SE0005999836</t>
  </si>
  <si>
    <t>Aktiebolaget Electrolux</t>
  </si>
  <si>
    <t>SE0016589170</t>
  </si>
  <si>
    <t>Aktiebolaget SKF</t>
  </si>
  <si>
    <t>SE0000108201</t>
  </si>
  <si>
    <t>Aktiebolaget Volvo</t>
  </si>
  <si>
    <t>SE0000115420</t>
  </si>
  <si>
    <t>Tillverkning &amp; industri</t>
  </si>
  <si>
    <t>Alfa Laval AB</t>
  </si>
  <si>
    <t>SE0000695876</t>
  </si>
  <si>
    <t>Bank, finans &amp; försäkring</t>
  </si>
  <si>
    <t>Alimak Group AB (publ)</t>
  </si>
  <si>
    <t>SE0007158910</t>
  </si>
  <si>
    <t>Alligo AB</t>
  </si>
  <si>
    <t>SE0009922305</t>
  </si>
  <si>
    <t>-</t>
  </si>
  <si>
    <t>Ambea AB ( publ )</t>
  </si>
  <si>
    <t>SE0009663826</t>
  </si>
  <si>
    <t>Juridik, ekonomi &amp; konsulttjänster</t>
  </si>
  <si>
    <t>AQ Group AB</t>
  </si>
  <si>
    <t>SE0022062196</t>
  </si>
  <si>
    <t>ASSA ABLOY AB</t>
  </si>
  <si>
    <t>SE0007100581</t>
  </si>
  <si>
    <t>Atlas Copco Aktiebolag</t>
  </si>
  <si>
    <t>SE0017486889</t>
  </si>
  <si>
    <t>Attendo</t>
  </si>
  <si>
    <t>SE0007666110</t>
  </si>
  <si>
    <t>Axfood AB</t>
  </si>
  <si>
    <t>SE0006993770</t>
  </si>
  <si>
    <t>Beijer Ref AB (publ)</t>
  </si>
  <si>
    <t>SE0015949748</t>
  </si>
  <si>
    <t>Bergman &amp; Beving Aktiebolag</t>
  </si>
  <si>
    <t>SE0000101362</t>
  </si>
  <si>
    <t>N/A</t>
  </si>
  <si>
    <t>BHG Group AB</t>
  </si>
  <si>
    <t>SE0010948588</t>
  </si>
  <si>
    <t>Bilia AB</t>
  </si>
  <si>
    <t>SE0009921588</t>
  </si>
  <si>
    <t>Billerud Aktiebolag (publ)</t>
  </si>
  <si>
    <t>SE0000862997</t>
  </si>
  <si>
    <t>BioGaia AB</t>
  </si>
  <si>
    <t>SE0017769995</t>
  </si>
  <si>
    <t>Partihandel</t>
  </si>
  <si>
    <t>Biotage AB</t>
  </si>
  <si>
    <t>SE0000454746</t>
  </si>
  <si>
    <t>463 000</t>
  </si>
  <si>
    <t>429 000</t>
  </si>
  <si>
    <t>347 000</t>
  </si>
  <si>
    <t>279 832</t>
  </si>
  <si>
    <t>282 492</t>
  </si>
  <si>
    <t>2 391 000</t>
  </si>
  <si>
    <t>794 000</t>
  </si>
  <si>
    <t>741 000</t>
  </si>
  <si>
    <t>Boliden AB</t>
  </si>
  <si>
    <t>SE0020050417</t>
  </si>
  <si>
    <t>Boozt AB</t>
  </si>
  <si>
    <t>SE0009888738</t>
  </si>
  <si>
    <t>Bravida Holding AB</t>
  </si>
  <si>
    <t>SE0007491303</t>
  </si>
  <si>
    <t>BTS Group AB</t>
  </si>
  <si>
    <t>SE0000805426</t>
  </si>
  <si>
    <t>Bufab AB (publ)</t>
  </si>
  <si>
    <t>SE0005677135</t>
  </si>
  <si>
    <t>Byggmax Group AB</t>
  </si>
  <si>
    <t>SE0003303627</t>
  </si>
  <si>
    <t>Fastighetsverksamhet</t>
  </si>
  <si>
    <t>CellaVision AB</t>
  </si>
  <si>
    <t>SE0000683484</t>
  </si>
  <si>
    <t>Utbildning, forskning &amp; utveckling</t>
  </si>
  <si>
    <t>Cint Group AB (publ)</t>
  </si>
  <si>
    <t>SE0015483276</t>
  </si>
  <si>
    <t>287 386</t>
  </si>
  <si>
    <t>-  3 481 646</t>
  </si>
  <si>
    <t>60 548</t>
  </si>
  <si>
    <t>133 557</t>
  </si>
  <si>
    <t>50 472</t>
  </si>
  <si>
    <t>-  0,608</t>
  </si>
  <si>
    <t>Cloetta AB</t>
  </si>
  <si>
    <t>SE0002626861</t>
  </si>
  <si>
    <t>Concentric AB</t>
  </si>
  <si>
    <t>SE0003950864</t>
  </si>
  <si>
    <t>Dometic Group AB (publ)</t>
  </si>
  <si>
    <t>SE0007691613</t>
  </si>
  <si>
    <t>Duni AB</t>
  </si>
  <si>
    <t>SE0000616716</t>
  </si>
  <si>
    <t>Dustin Group AB</t>
  </si>
  <si>
    <t>SE0006625471</t>
  </si>
  <si>
    <t>Detaljhandel</t>
  </si>
  <si>
    <t>Elanders AB</t>
  </si>
  <si>
    <t>SE0000119299</t>
  </si>
  <si>
    <t>Elekta AB (publ)</t>
  </si>
  <si>
    <t>SE0000163628</t>
  </si>
  <si>
    <t>Enea Aktiebolag</t>
  </si>
  <si>
    <t>SE0009697220</t>
  </si>
  <si>
    <t>Epiroc Aktiebolag</t>
  </si>
  <si>
    <t>SE0015658109</t>
  </si>
  <si>
    <t>EQT AB</t>
  </si>
  <si>
    <t>SE0012853455</t>
  </si>
  <si>
    <t>Essity Aktiebolag (publ)</t>
  </si>
  <si>
    <t>SE0009922156</t>
  </si>
  <si>
    <t>Fagerhult Group AB</t>
  </si>
  <si>
    <t>SE0010048884</t>
  </si>
  <si>
    <t>FM Mattsson AB (publ)</t>
  </si>
  <si>
    <t>SE0018040883</t>
  </si>
  <si>
    <t>284 979</t>
  </si>
  <si>
    <t>345 652</t>
  </si>
  <si>
    <t>400 231</t>
  </si>
  <si>
    <t>275 283</t>
  </si>
  <si>
    <t>192 257</t>
  </si>
  <si>
    <t>Getinge AB (publ)</t>
  </si>
  <si>
    <t>SE0000202624</t>
  </si>
  <si>
    <t>Gränges AB</t>
  </si>
  <si>
    <t>SE0006288015</t>
  </si>
  <si>
    <t>H &amp; M Hennes &amp; Mauritz AB</t>
  </si>
  <si>
    <t>SE0000106270</t>
  </si>
  <si>
    <t>Hemnet Group AB (publ)</t>
  </si>
  <si>
    <t>SE0015671995</t>
  </si>
  <si>
    <t>525 500</t>
  </si>
  <si>
    <t>448 100</t>
  </si>
  <si>
    <t>302 900</t>
  </si>
  <si>
    <t>187 963</t>
  </si>
  <si>
    <t>171 897</t>
  </si>
  <si>
    <t>Hexagon Aktiebolag</t>
  </si>
  <si>
    <t>SE0015961909</t>
  </si>
  <si>
    <t>Hexatronic Group AB</t>
  </si>
  <si>
    <t>SE0018040677</t>
  </si>
  <si>
    <t>HEXPOL AB</t>
  </si>
  <si>
    <t>SE0007074281</t>
  </si>
  <si>
    <t>Humana AB</t>
  </si>
  <si>
    <t>SE0008040653</t>
  </si>
  <si>
    <t>Husqvarna AB</t>
  </si>
  <si>
    <t>SE0001662230</t>
  </si>
  <si>
    <t>Indutrade Aktiebolag</t>
  </si>
  <si>
    <t>SE0001515552</t>
  </si>
  <si>
    <t>Investmentaktiebolaget Latour</t>
  </si>
  <si>
    <t>SE0010100958</t>
  </si>
  <si>
    <t>INVISIO AB</t>
  </si>
  <si>
    <t>SE0001200015</t>
  </si>
  <si>
    <t>Data, it &amp; telekommunikation</t>
  </si>
  <si>
    <t>Inwido AB (publ)</t>
  </si>
  <si>
    <t>SE0006220018</t>
  </si>
  <si>
    <t>JM AB</t>
  </si>
  <si>
    <t>SE0000806994</t>
  </si>
  <si>
    <t>Bygg-, design- &amp; inredningsverksamhet</t>
  </si>
  <si>
    <t>Knowit Aktiebolag (publ)</t>
  </si>
  <si>
    <t>SE0000421273</t>
  </si>
  <si>
    <t>L E Lundbergföretagen Aktiebolag (publ)</t>
  </si>
  <si>
    <t>SE0000108847</t>
  </si>
  <si>
    <t>Lifco AB (publ)</t>
  </si>
  <si>
    <t>SE0015949201</t>
  </si>
  <si>
    <t>Lime Technologies AB (publ)</t>
  </si>
  <si>
    <t>SE0011870195</t>
  </si>
  <si>
    <t>Loomis AB</t>
  </si>
  <si>
    <t>SE0014504817</t>
  </si>
  <si>
    <t>Mangold AB</t>
  </si>
  <si>
    <t>SE0001449380</t>
  </si>
  <si>
    <t>Medicover AB</t>
  </si>
  <si>
    <t>SE0009778848</t>
  </si>
  <si>
    <t>MEKO AB</t>
  </si>
  <si>
    <t>SE0002110064</t>
  </si>
  <si>
    <t>Modern Times Group MTG AB</t>
  </si>
  <si>
    <t>SE0018012494</t>
  </si>
  <si>
    <t>Mycronic AB (publ)</t>
  </si>
  <si>
    <t>SE0000375115</t>
  </si>
  <si>
    <t>NCC Aktiebolag</t>
  </si>
  <si>
    <t>SE0000117970</t>
  </si>
  <si>
    <t>New Wave Group AB</t>
  </si>
  <si>
    <t>SE0020356970</t>
  </si>
  <si>
    <t>NIBE Industrier AB</t>
  </si>
  <si>
    <t>SE0015988019</t>
  </si>
  <si>
    <t>Nobia AB</t>
  </si>
  <si>
    <t>SE0000949331</t>
  </si>
  <si>
    <t>Nolato Aktiebolag</t>
  </si>
  <si>
    <t>SE0015962477</t>
  </si>
  <si>
    <t>Nordnet AB (publ)</t>
  </si>
  <si>
    <t>SE0015192067</t>
  </si>
  <si>
    <t>OEM International Aktiebolag</t>
  </si>
  <si>
    <t>SE0017766843</t>
  </si>
  <si>
    <t>Peab AB</t>
  </si>
  <si>
    <t>SE0000106205</t>
  </si>
  <si>
    <t>Proact IT Group AB</t>
  </si>
  <si>
    <t>SE0015961222</t>
  </si>
  <si>
    <t>SAAB Aktiebolag</t>
  </si>
  <si>
    <t>SE0021921269</t>
  </si>
  <si>
    <t>Sandvik Aktiebolag</t>
  </si>
  <si>
    <t>SE0000667891</t>
  </si>
  <si>
    <t>Scandi Standard AB (publ)</t>
  </si>
  <si>
    <t>SE0005999760</t>
  </si>
  <si>
    <t>SECTRA Aktiebolag</t>
  </si>
  <si>
    <t>SE0022419784</t>
  </si>
  <si>
    <t>621 944</t>
  </si>
  <si>
    <t>547 592</t>
  </si>
  <si>
    <t>464 602</t>
  </si>
  <si>
    <t>428 995</t>
  </si>
  <si>
    <t>375 022</t>
  </si>
  <si>
    <t>Securitas AB</t>
  </si>
  <si>
    <t>SE0000163594</t>
  </si>
  <si>
    <t>Sinch AB (publ)</t>
  </si>
  <si>
    <t>SE0016101844</t>
  </si>
  <si>
    <t>Skanska AB</t>
  </si>
  <si>
    <t>SE0000113250</t>
  </si>
  <si>
    <t>SkiStar Aktiebolag</t>
  </si>
  <si>
    <t>SE0012141687</t>
  </si>
  <si>
    <t>Kultur, nöje &amp; fritid</t>
  </si>
  <si>
    <t>SSAB AB</t>
  </si>
  <si>
    <t>SE0000120669</t>
  </si>
  <si>
    <t>Stillfront Group AB (publ)</t>
  </si>
  <si>
    <t>SE0015346135</t>
  </si>
  <si>
    <t>Storskogen Group AB (publ)</t>
  </si>
  <si>
    <t>SE0016797732</t>
  </si>
  <si>
    <t>SWECO AB (publ)</t>
  </si>
  <si>
    <t>SE0014960373</t>
  </si>
  <si>
    <t>Swedish Orphan Biovitrum AB (publ)</t>
  </si>
  <si>
    <t>SE0000872095</t>
  </si>
  <si>
    <t>Tele2 AB</t>
  </si>
  <si>
    <t>SE0005190238</t>
  </si>
  <si>
    <t>Telefonaktiebolaget LM Ericsson</t>
  </si>
  <si>
    <t>SE0000108656</t>
  </si>
  <si>
    <t>8,10%%</t>
  </si>
  <si>
    <t>Telia Company AB</t>
  </si>
  <si>
    <t>SE0000667925</t>
  </si>
  <si>
    <t>Thule Group AB</t>
  </si>
  <si>
    <t>SE0006422390</t>
  </si>
  <si>
    <t>Trelleborg Aktiebolag</t>
  </si>
  <si>
    <t>SE0000114837</t>
  </si>
  <si>
    <t>Troax Group AB (publ)</t>
  </si>
  <si>
    <t>SE0012729366</t>
  </si>
  <si>
    <t>690 938</t>
  </si>
  <si>
    <t>680 576</t>
  </si>
  <si>
    <t>629 327</t>
  </si>
  <si>
    <t>395 011</t>
  </si>
  <si>
    <t>410 277</t>
  </si>
  <si>
    <t>VBG GROUP AB (publ)</t>
  </si>
  <si>
    <t>SE0000115107</t>
  </si>
  <si>
    <t>Viaplay Group AB (publ)</t>
  </si>
  <si>
    <t>SE0012116390</t>
  </si>
  <si>
    <t>Vitrolife AB</t>
  </si>
  <si>
    <t>SE0011205202</t>
  </si>
  <si>
    <t>Volati AB</t>
  </si>
  <si>
    <t>SE0009143662</t>
  </si>
  <si>
    <t>XANO Industri AB</t>
  </si>
  <si>
    <t>SE0018014151</t>
  </si>
  <si>
    <t>Sol_%_23</t>
  </si>
  <si>
    <t>Sol_%_22</t>
  </si>
  <si>
    <t>Sol_%_21</t>
  </si>
  <si>
    <t>Sol_%_20</t>
  </si>
  <si>
    <t>Sol_%_19</t>
  </si>
  <si>
    <t>Mål</t>
  </si>
  <si>
    <t>Startdatum</t>
  </si>
  <si>
    <t>Slutdatum</t>
  </si>
  <si>
    <t>v, 45</t>
  </si>
  <si>
    <t>v, 46</t>
  </si>
  <si>
    <t>v, 47</t>
  </si>
  <si>
    <t>v, 48</t>
  </si>
  <si>
    <t>v, 49</t>
  </si>
  <si>
    <t>v, 50</t>
  </si>
  <si>
    <t>v, 51</t>
  </si>
  <si>
    <t>v, 52 (ledig)</t>
  </si>
  <si>
    <t>v, 1</t>
  </si>
  <si>
    <t>v, 2</t>
  </si>
  <si>
    <t>v, 3</t>
  </si>
  <si>
    <t>Rårapport</t>
  </si>
  <si>
    <t>Information om uppsatsförfattarna</t>
  </si>
  <si>
    <t>Övergripande om uppsatsen</t>
  </si>
  <si>
    <t>Närmare uppgifter om uppsatsen innehåll</t>
  </si>
  <si>
    <t>Inlämning</t>
  </si>
  <si>
    <t>Planeringsrapport</t>
  </si>
  <si>
    <t>Bakgrundsbeskrivning</t>
  </si>
  <si>
    <t>Problem och syfte</t>
  </si>
  <si>
    <t>Litteraturöversikt</t>
  </si>
  <si>
    <t>Metod för datainsamling</t>
  </si>
  <si>
    <t>Tänkt disposition av rapporten</t>
  </si>
  <si>
    <t>Tidsplan för arbetet</t>
  </si>
  <si>
    <t>Opponering</t>
  </si>
  <si>
    <t>STATA inlämning</t>
  </si>
  <si>
    <t>Föreläsning</t>
  </si>
  <si>
    <t>Dataexport</t>
  </si>
  <si>
    <t>STATA do kod fil</t>
  </si>
  <si>
    <t>Analys</t>
  </si>
  <si>
    <t>Review</t>
  </si>
  <si>
    <t>Mittrapport</t>
  </si>
  <si>
    <t>Utkast analys</t>
  </si>
  <si>
    <t>Utkast diskussion</t>
  </si>
  <si>
    <t>Fullständigt utkast av rapporten</t>
  </si>
  <si>
    <t>Avstämning med handledare</t>
  </si>
  <si>
    <t>Fullständing rapport</t>
  </si>
  <si>
    <t>Färdigställd analys</t>
  </si>
  <si>
    <t>Färdigställd diskussion</t>
  </si>
  <si>
    <t>Slutseminariet</t>
  </si>
  <si>
    <t>Förberedelse av presentation</t>
  </si>
  <si>
    <t>Färdig presentation</t>
  </si>
  <si>
    <t>Opponering förberedelse</t>
  </si>
  <si>
    <t>Opponering utförande</t>
  </si>
  <si>
    <t>Utförande av seminarie</t>
  </si>
  <si>
    <t>Slutinlämning</t>
  </si>
  <si>
    <t>Eximination</t>
  </si>
  <si>
    <t>Årtal</t>
  </si>
  <si>
    <t>Delta WACC</t>
  </si>
  <si>
    <t>Delta SR</t>
  </si>
  <si>
    <t>year</t>
  </si>
  <si>
    <t>WACC</t>
  </si>
  <si>
    <t>Inflation</t>
  </si>
  <si>
    <t>Nedskrivning av goodwill</t>
  </si>
  <si>
    <t>Vinstmarginal</t>
  </si>
  <si>
    <t>Omsättning</t>
  </si>
  <si>
    <t>Goodwill</t>
  </si>
  <si>
    <t>Totala Tillgångar</t>
  </si>
  <si>
    <t>Summa Eget kapital</t>
  </si>
  <si>
    <t>Eget kapital / goodwill</t>
  </si>
  <si>
    <t>Eget kapital / Totalt kapital</t>
  </si>
  <si>
    <t>GWN_binary</t>
  </si>
  <si>
    <t>1,208e+08</t>
  </si>
  <si>
    <t>1,443e+08</t>
  </si>
  <si>
    <t>1,200e+08</t>
  </si>
  <si>
    <t>1,160e+08</t>
  </si>
  <si>
    <t>1,256e+08</t>
  </si>
  <si>
    <t>1,357e+08</t>
  </si>
  <si>
    <t>1,347e+08</t>
  </si>
  <si>
    <t>1,066e+08</t>
  </si>
  <si>
    <t>4,341e+08</t>
  </si>
  <si>
    <t>3,402e+08</t>
  </si>
  <si>
    <t>3,725e+08</t>
  </si>
  <si>
    <t>4,736e+08</t>
  </si>
  <si>
    <t>5,528e+08</t>
  </si>
  <si>
    <t>1,041e+08</t>
  </si>
  <si>
    <t>1,001e+08</t>
  </si>
  <si>
    <t>1,117e+08</t>
  </si>
  <si>
    <t>1,419e+08</t>
  </si>
  <si>
    <t>1,732e+08</t>
  </si>
  <si>
    <t>−02,18,00</t>
  </si>
  <si>
    <t>−11,41,00</t>
  </si>
  <si>
    <t>32,02,00</t>
  </si>
  <si>
    <t>30,56,00</t>
  </si>
  <si>
    <t>32,33,00</t>
  </si>
  <si>
    <t>41,03,00</t>
  </si>
  <si>
    <t>37,38,00</t>
  </si>
  <si>
    <t>29,38,00</t>
  </si>
  <si>
    <t>26,16,00</t>
  </si>
  <si>
    <t>24,31,00</t>
  </si>
  <si>
    <t>54,36,00</t>
  </si>
  <si>
    <t>59,25,00</t>
  </si>
  <si>
    <t>1,290e+08</t>
  </si>
  <si>
    <t>1,218e+08</t>
  </si>
  <si>
    <t>1,219e+08</t>
  </si>
  <si>
    <t>1,562e+08</t>
  </si>
  <si>
    <t>1,472e+08</t>
  </si>
  <si>
    <t>2,328e+08</t>
  </si>
  <si>
    <t>1,870e+08</t>
  </si>
  <si>
    <t>1,990e+08</t>
  </si>
  <si>
    <t>2,236e+08</t>
  </si>
  <si>
    <t>2,370e+08</t>
  </si>
  <si>
    <t>31,19,00</t>
  </si>
  <si>
    <t>42,52,00</t>
  </si>
  <si>
    <t>45,33,00</t>
  </si>
  <si>
    <t>42,55,00</t>
  </si>
  <si>
    <t>40,36,00</t>
  </si>
  <si>
    <t>24,37,00</t>
  </si>
  <si>
    <t>27,58,00</t>
  </si>
  <si>
    <t>34,17,00</t>
  </si>
  <si>
    <t>25,17,00</t>
  </si>
  <si>
    <t>51,11,00</t>
  </si>
  <si>
    <t>−04,09,00</t>
  </si>
  <si>
    <t>−09,34,00</t>
  </si>
  <si>
    <t>26,31,00</t>
  </si>
  <si>
    <t>42,59,00</t>
  </si>
  <si>
    <t>55,44,00</t>
  </si>
  <si>
    <t>47,08,00</t>
  </si>
  <si>
    <t>55,19,00</t>
  </si>
  <si>
    <t>1,303e+08</t>
  </si>
  <si>
    <t>1,207e+08</t>
  </si>
  <si>
    <t>1,044e+08</t>
  </si>
  <si>
    <t>1,002e+08</t>
  </si>
  <si>
    <t>1,272e+08</t>
  </si>
  <si>
    <t>1,110e+08</t>
  </si>
  <si>
    <t>1,080e+08</t>
  </si>
  <si>
    <t>1,078e+08</t>
  </si>
  <si>
    <t>1,333e+08</t>
  </si>
  <si>
    <t>1,574e+08</t>
  </si>
  <si>
    <t>−04,01,00</t>
  </si>
  <si>
    <t>1,734e+08</t>
  </si>
  <si>
    <t>1,644e+08</t>
  </si>
  <si>
    <t>1,655e+08</t>
  </si>
  <si>
    <t>1,685e+08</t>
  </si>
  <si>
    <t>24,41,00</t>
  </si>
  <si>
    <t>31,26,00</t>
  </si>
  <si>
    <t>25,18,00</t>
  </si>
  <si>
    <t>32,25,00</t>
  </si>
  <si>
    <t>31,58,00</t>
  </si>
  <si>
    <t>24,14,00</t>
  </si>
  <si>
    <t>−19,47,00</t>
  </si>
  <si>
    <t>−10,24,00</t>
  </si>
  <si>
    <t>26,58,00</t>
  </si>
  <si>
    <t>−55,35,00</t>
  </si>
  <si>
    <t>33,47,00</t>
  </si>
  <si>
    <t>30,48,00</t>
  </si>
  <si>
    <t>−102,05,00</t>
  </si>
  <si>
    <t>GW / EK</t>
  </si>
  <si>
    <t>d_WACC</t>
  </si>
  <si>
    <t>d_SR</t>
  </si>
  <si>
    <t>d_VM</t>
  </si>
  <si>
    <t>d_INF</t>
  </si>
  <si>
    <t>d_EK_TT</t>
  </si>
  <si>
    <t>d_EK_GW</t>
  </si>
  <si>
    <t>712,29,00</t>
  </si>
  <si>
    <t>−8756,34,00</t>
  </si>
  <si>
    <t>SL23</t>
  </si>
  <si>
    <t>SL21</t>
  </si>
  <si>
    <t>SL20</t>
  </si>
  <si>
    <t>SL19</t>
  </si>
  <si>
    <t>SL22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</si>
</sst>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d/m/yyyy"/>
    <numFmt numFmtId="166" formatCode="d\,m\,yy"/>
    <numFmt numFmtId="167" formatCode="dd\,mm\,yy"/>
    <numFmt numFmtId="168" formatCode="#,##0.0000"/>
    <numFmt numFmtId="169" formatCode="[hh]\.mm\.ss"/>
    <numFmt numFmtId="170" formatCode="hh\.mm"/>
  </numFmts>
  <fonts count="12" x14ac:knownFonts="1">
    <font>
      <sz val="10"/>
      <color rgb="FF000000"/>
      <name val="Calibri"/>
      <scheme val="minor"/>
    </font>
    <font>
      <b/>
      <sz val="10"/>
      <color theme="1"/>
      <name val="Montserrat"/>
    </font>
    <font>
      <sz val="10"/>
      <color theme="1"/>
      <name val="Calibri"/>
      <family val="2"/>
    </font>
    <font>
      <sz val="10"/>
      <color theme="1"/>
      <name val="Calibri"/>
      <family val="2"/>
    </font>
    <font>
      <sz val="11"/>
      <color theme="1"/>
      <name val="Calibri"/>
      <family val="2"/>
    </font>
    <font>
      <sz val="10"/>
      <color rgb="FFFF0000"/>
      <name val="Calibri"/>
      <family val="2"/>
    </font>
    <font>
      <sz val="10"/>
      <color theme="1"/>
      <name val="Calibri"/>
      <family val="2"/>
      <scheme val="minor"/>
    </font>
    <font>
      <sz val="11"/>
      <color theme="1"/>
      <name val="Calibri"/>
      <family val="2"/>
      <scheme val="minor"/>
    </font>
    <font>
      <b/>
      <sz val="10"/>
      <color theme="1"/>
      <name val="Arial"/>
      <family val="2"/>
    </font>
    <font>
      <b/>
      <sz val="11"/>
      <color theme="1"/>
      <name val="Arial"/>
      <family val="2"/>
    </font>
    <font>
      <sz val="10"/>
      <color theme="1"/>
      <name val="Arial"/>
      <family val="2"/>
    </font>
    <font>
      <sz val="10"/>
      <color rgb="FF000000"/>
      <name val="Calibri"/>
      <family val="2"/>
      <scheme val="minor"/>
    </font>
  </fonts>
  <fills count="12">
    <fill>
      <patternFill patternType="none"/>
    </fill>
    <fill>
      <patternFill patternType="gray125"/>
    </fill>
    <fill>
      <patternFill patternType="solid">
        <fgColor rgb="FF999999"/>
        <bgColor rgb="FF999999"/>
      </patternFill>
    </fill>
    <fill>
      <patternFill patternType="solid">
        <fgColor rgb="FFCCCCCC"/>
        <bgColor rgb="FFCCCCCC"/>
      </patternFill>
    </fill>
    <fill>
      <patternFill patternType="solid">
        <fgColor rgb="FFD0E0E3"/>
        <bgColor rgb="FFD0E0E3"/>
      </patternFill>
    </fill>
    <fill>
      <patternFill patternType="solid">
        <fgColor rgb="FFFFFFFF"/>
        <bgColor rgb="FFFFFFFF"/>
      </patternFill>
    </fill>
    <fill>
      <patternFill patternType="solid">
        <fgColor rgb="FFB7B7B7"/>
        <bgColor rgb="FFB7B7B7"/>
      </patternFill>
    </fill>
    <fill>
      <patternFill patternType="solid">
        <fgColor rgb="FFEFEFEF"/>
        <bgColor rgb="FFEFEFEF"/>
      </patternFill>
    </fill>
    <fill>
      <patternFill patternType="solid">
        <fgColor rgb="FF6AA84F"/>
        <bgColor rgb="FF6AA84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2">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medium">
        <color rgb="FFFF0000"/>
      </left>
      <right style="medium">
        <color rgb="FFFF0000"/>
      </right>
      <top/>
      <bottom/>
      <diagonal/>
    </border>
    <border>
      <left style="medium">
        <color rgb="FFFF0000"/>
      </left>
      <right style="medium">
        <color rgb="FFFF0000"/>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0" borderId="3" xfId="0" applyFont="1" applyBorder="1" applyAlignment="1">
      <alignment horizontal="center" vertical="center"/>
    </xf>
    <xf numFmtId="0" fontId="1" fillId="4" borderId="4" xfId="0" applyFont="1" applyFill="1" applyBorder="1" applyAlignment="1">
      <alignment horizontal="center" vertical="center"/>
    </xf>
    <xf numFmtId="0" fontId="1" fillId="5" borderId="4" xfId="0" applyFont="1" applyFill="1" applyBorder="1" applyAlignment="1">
      <alignment horizontal="center" vertical="center"/>
    </xf>
    <xf numFmtId="10" fontId="1" fillId="5" borderId="4" xfId="0" applyNumberFormat="1" applyFont="1" applyFill="1" applyBorder="1" applyAlignment="1">
      <alignment horizontal="center" vertical="center"/>
    </xf>
    <xf numFmtId="0" fontId="1" fillId="4" borderId="5" xfId="0" applyFont="1" applyFill="1" applyBorder="1" applyAlignment="1">
      <alignment horizontal="center"/>
    </xf>
    <xf numFmtId="0" fontId="1" fillId="5" borderId="0" xfId="0" applyFont="1" applyFill="1"/>
    <xf numFmtId="0" fontId="1" fillId="4" borderId="0" xfId="0" applyFont="1" applyFill="1"/>
    <xf numFmtId="0" fontId="1" fillId="4" borderId="0" xfId="0" applyFont="1" applyFill="1" applyAlignment="1">
      <alignment horizontal="center"/>
    </xf>
    <xf numFmtId="0" fontId="1" fillId="5" borderId="0" xfId="0" applyFont="1" applyFill="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3" fillId="3" borderId="0" xfId="0" applyFont="1" applyFill="1"/>
    <xf numFmtId="10" fontId="2" fillId="0" borderId="5" xfId="0" applyNumberFormat="1" applyFont="1" applyBorder="1" applyAlignment="1">
      <alignment horizontal="center"/>
    </xf>
    <xf numFmtId="10" fontId="3" fillId="0" borderId="5" xfId="0" applyNumberFormat="1" applyFont="1" applyBorder="1" applyAlignment="1">
      <alignment horizontal="center"/>
    </xf>
    <xf numFmtId="10" fontId="2" fillId="4" borderId="5" xfId="0" applyNumberFormat="1" applyFont="1" applyFill="1" applyBorder="1" applyAlignment="1">
      <alignment horizontal="center"/>
    </xf>
    <xf numFmtId="10" fontId="2" fillId="5" borderId="5" xfId="0" applyNumberFormat="1" applyFont="1" applyFill="1" applyBorder="1" applyAlignment="1">
      <alignment horizontal="center"/>
    </xf>
    <xf numFmtId="0" fontId="2" fillId="5" borderId="5" xfId="0" applyFont="1" applyFill="1" applyBorder="1" applyAlignment="1">
      <alignment horizontal="center"/>
    </xf>
    <xf numFmtId="3" fontId="2" fillId="4" borderId="5" xfId="0" applyNumberFormat="1" applyFont="1" applyFill="1" applyBorder="1" applyAlignment="1">
      <alignment horizontal="center"/>
    </xf>
    <xf numFmtId="3" fontId="2" fillId="5" borderId="0" xfId="0" applyNumberFormat="1" applyFont="1" applyFill="1" applyAlignment="1">
      <alignment horizontal="center"/>
    </xf>
    <xf numFmtId="3" fontId="2" fillId="4" borderId="0" xfId="0" applyNumberFormat="1" applyFont="1" applyFill="1" applyAlignment="1">
      <alignment horizontal="center"/>
    </xf>
    <xf numFmtId="10" fontId="2" fillId="4" borderId="0" xfId="0" applyNumberFormat="1" applyFont="1" applyFill="1" applyAlignment="1">
      <alignment horizontal="center"/>
    </xf>
    <xf numFmtId="9" fontId="2" fillId="5" borderId="0" xfId="0" applyNumberFormat="1" applyFont="1" applyFill="1" applyAlignment="1">
      <alignment horizontal="center"/>
    </xf>
    <xf numFmtId="0" fontId="4" fillId="2" borderId="0" xfId="0" applyFont="1" applyFill="1" applyAlignment="1">
      <alignment horizontal="center"/>
    </xf>
    <xf numFmtId="3" fontId="5" fillId="4" borderId="0" xfId="0" applyNumberFormat="1" applyFont="1" applyFill="1" applyAlignment="1">
      <alignment horizontal="center"/>
    </xf>
    <xf numFmtId="3" fontId="5" fillId="5" borderId="0" xfId="0" applyNumberFormat="1" applyFont="1" applyFill="1" applyAlignment="1">
      <alignment horizontal="center"/>
    </xf>
    <xf numFmtId="3" fontId="3" fillId="5" borderId="0" xfId="0" applyNumberFormat="1" applyFont="1" applyFill="1" applyAlignment="1">
      <alignment horizontal="center"/>
    </xf>
    <xf numFmtId="0" fontId="0" fillId="2" borderId="0" xfId="0" applyFill="1" applyAlignment="1">
      <alignment horizontal="center"/>
    </xf>
    <xf numFmtId="0" fontId="6" fillId="3" borderId="0" xfId="0" applyFont="1" applyFill="1" applyAlignment="1">
      <alignment horizontal="center"/>
    </xf>
    <xf numFmtId="10" fontId="6" fillId="0" borderId="5" xfId="0" applyNumberFormat="1" applyFont="1" applyBorder="1" applyAlignment="1">
      <alignment horizontal="center"/>
    </xf>
    <xf numFmtId="3" fontId="7" fillId="4" borderId="5" xfId="0" applyNumberFormat="1" applyFont="1" applyFill="1" applyBorder="1" applyAlignment="1">
      <alignment horizontal="center"/>
    </xf>
    <xf numFmtId="3" fontId="4" fillId="4" borderId="5" xfId="0" applyNumberFormat="1" applyFont="1" applyFill="1" applyBorder="1" applyAlignment="1">
      <alignment horizontal="center"/>
    </xf>
    <xf numFmtId="0" fontId="6" fillId="2" borderId="0" xfId="0" applyFont="1" applyFill="1" applyAlignment="1">
      <alignment horizontal="center"/>
    </xf>
    <xf numFmtId="3" fontId="4" fillId="5" borderId="0" xfId="0" applyNumberFormat="1" applyFont="1" applyFill="1" applyAlignment="1">
      <alignment horizontal="center"/>
    </xf>
    <xf numFmtId="0" fontId="2" fillId="0" borderId="5" xfId="0" applyFont="1" applyBorder="1" applyAlignment="1">
      <alignment horizontal="center"/>
    </xf>
    <xf numFmtId="3" fontId="6" fillId="4" borderId="5" xfId="0" applyNumberFormat="1" applyFont="1" applyFill="1" applyBorder="1" applyAlignment="1">
      <alignment horizontal="center"/>
    </xf>
    <xf numFmtId="10" fontId="2" fillId="0" borderId="0" xfId="0" applyNumberFormat="1" applyFont="1" applyAlignment="1">
      <alignment horizontal="center"/>
    </xf>
    <xf numFmtId="10" fontId="2" fillId="5" borderId="0" xfId="0" applyNumberFormat="1" applyFont="1" applyFill="1" applyAlignment="1">
      <alignment horizontal="center"/>
    </xf>
    <xf numFmtId="0" fontId="2" fillId="5" borderId="0" xfId="0" applyFont="1" applyFill="1" applyAlignment="1">
      <alignment horizontal="center"/>
    </xf>
    <xf numFmtId="3" fontId="4" fillId="4" borderId="0" xfId="0" applyNumberFormat="1" applyFont="1" applyFill="1" applyAlignment="1">
      <alignment horizontal="center"/>
    </xf>
    <xf numFmtId="4" fontId="2" fillId="4" borderId="0" xfId="0" applyNumberFormat="1" applyFont="1" applyFill="1" applyAlignment="1">
      <alignment horizontal="center"/>
    </xf>
    <xf numFmtId="3" fontId="2" fillId="0" borderId="0" xfId="0" applyNumberFormat="1" applyFont="1" applyAlignment="1">
      <alignment horizontal="center"/>
    </xf>
    <xf numFmtId="0" fontId="1" fillId="0" borderId="0" xfId="0" applyFont="1" applyAlignment="1">
      <alignment horizontal="center"/>
    </xf>
    <xf numFmtId="3" fontId="5" fillId="0" borderId="0" xfId="0" applyNumberFormat="1" applyFont="1" applyAlignment="1">
      <alignment horizontal="center"/>
    </xf>
    <xf numFmtId="3" fontId="4" fillId="0" borderId="0" xfId="0" applyNumberFormat="1" applyFont="1" applyAlignment="1">
      <alignment horizontal="center"/>
    </xf>
    <xf numFmtId="9" fontId="6" fillId="0" borderId="0" xfId="0" applyNumberFormat="1" applyFont="1" applyAlignment="1">
      <alignment horizontal="center"/>
    </xf>
    <xf numFmtId="0" fontId="6" fillId="0" borderId="0" xfId="0" applyFont="1"/>
    <xf numFmtId="164" fontId="6" fillId="0" borderId="0" xfId="0" applyNumberFormat="1" applyFont="1"/>
    <xf numFmtId="0" fontId="8" fillId="6" borderId="6" xfId="0" applyFont="1" applyFill="1" applyBorder="1"/>
    <xf numFmtId="0" fontId="8" fillId="6" borderId="7" xfId="0" applyFont="1" applyFill="1" applyBorder="1"/>
    <xf numFmtId="0" fontId="9" fillId="6" borderId="7" xfId="0" applyFont="1" applyFill="1" applyBorder="1" applyAlignment="1">
      <alignment horizontal="center"/>
    </xf>
    <xf numFmtId="0" fontId="8" fillId="7" borderId="8" xfId="0" applyFont="1" applyFill="1" applyBorder="1"/>
    <xf numFmtId="165" fontId="10" fillId="7" borderId="0" xfId="0" applyNumberFormat="1" applyFont="1" applyFill="1" applyAlignment="1">
      <alignment horizontal="right"/>
    </xf>
    <xf numFmtId="0" fontId="10" fillId="8" borderId="0" xfId="0" applyFont="1" applyFill="1"/>
    <xf numFmtId="0" fontId="10" fillId="0" borderId="0" xfId="0" applyFont="1"/>
    <xf numFmtId="0" fontId="10" fillId="0" borderId="9" xfId="0" applyFont="1" applyBorder="1"/>
    <xf numFmtId="0" fontId="10" fillId="7" borderId="8" xfId="0" applyFont="1" applyFill="1" applyBorder="1"/>
    <xf numFmtId="0" fontId="10" fillId="9" borderId="0" xfId="0" applyFont="1" applyFill="1"/>
    <xf numFmtId="0" fontId="10" fillId="6" borderId="7" xfId="0" applyFont="1" applyFill="1" applyBorder="1"/>
    <xf numFmtId="0" fontId="10" fillId="6" borderId="10" xfId="0" applyFont="1" applyFill="1" applyBorder="1"/>
    <xf numFmtId="0" fontId="10" fillId="10" borderId="0" xfId="0" applyFont="1" applyFill="1"/>
    <xf numFmtId="0" fontId="10" fillId="11" borderId="0" xfId="0" applyFont="1" applyFill="1"/>
    <xf numFmtId="0" fontId="10" fillId="7" borderId="11" xfId="0" applyFont="1" applyFill="1" applyBorder="1"/>
    <xf numFmtId="10" fontId="6" fillId="0" borderId="0" xfId="0" applyNumberFormat="1" applyFont="1"/>
    <xf numFmtId="3" fontId="6" fillId="0" borderId="0" xfId="0" applyNumberFormat="1" applyFont="1"/>
    <xf numFmtId="9" fontId="6" fillId="0" borderId="0" xfId="0" applyNumberFormat="1" applyFont="1"/>
    <xf numFmtId="166" fontId="6" fillId="0" borderId="0" xfId="0" applyNumberFormat="1" applyFont="1"/>
    <xf numFmtId="167" fontId="6" fillId="0" borderId="0" xfId="0" applyNumberFormat="1" applyFont="1"/>
    <xf numFmtId="168" fontId="6" fillId="0" borderId="0" xfId="0" applyNumberFormat="1" applyFont="1"/>
    <xf numFmtId="0" fontId="3" fillId="0" borderId="0" xfId="0" applyFont="1"/>
    <xf numFmtId="169" fontId="3" fillId="0" borderId="0" xfId="0" applyNumberFormat="1" applyFont="1"/>
    <xf numFmtId="170" fontId="3" fillId="0" borderId="0" xfId="0" applyNumberFormat="1" applyFont="1"/>
    <xf numFmtId="169"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400" b="1">
                <a:solidFill>
                  <a:srgbClr val="000000"/>
                </a:solidFill>
                <a:latin typeface="+mn-lt"/>
              </a:defRPr>
            </a:pPr>
            <a:r>
              <a:rPr sz="2400" b="1">
                <a:solidFill>
                  <a:srgbClr val="000000"/>
                </a:solidFill>
                <a:latin typeface="+mn-lt"/>
              </a:rPr>
              <a:t>delta WACC och delta styrränta</a:t>
            </a:r>
          </a:p>
        </c:rich>
      </c:tx>
      <c:overlay val="0"/>
    </c:title>
    <c:autoTitleDeleted val="0"/>
    <c:plotArea>
      <c:layout/>
      <c:lineChart>
        <c:grouping val="standard"/>
        <c:varyColors val="1"/>
        <c:ser>
          <c:idx val="0"/>
          <c:order val="0"/>
          <c:tx>
            <c:strRef>
              <c:f>Grafer!$E$5</c:f>
              <c:strCache>
                <c:ptCount val="1"/>
                <c:pt idx="0">
                  <c:v>Delta WACC</c:v>
                </c:pt>
              </c:strCache>
            </c:strRef>
          </c:tx>
          <c:spPr>
            <a:ln w="38100" cmpd="sng">
              <a:solidFill>
                <a:srgbClr val="0071B9"/>
              </a:solidFill>
            </a:ln>
          </c:spPr>
          <c:marker>
            <c:symbol val="none"/>
          </c:marker>
          <c:cat>
            <c:numRef>
              <c:f>Grafer!$D$6:$D$9</c:f>
              <c:numCache>
                <c:formatCode>General</c:formatCode>
                <c:ptCount val="4"/>
                <c:pt idx="0">
                  <c:v>2020</c:v>
                </c:pt>
                <c:pt idx="1">
                  <c:v>2021</c:v>
                </c:pt>
                <c:pt idx="2">
                  <c:v>2022</c:v>
                </c:pt>
                <c:pt idx="3">
                  <c:v>2023</c:v>
                </c:pt>
              </c:numCache>
            </c:numRef>
          </c:cat>
          <c:val>
            <c:numRef>
              <c:f>Grafer!$E$6:$E$9</c:f>
              <c:numCache>
                <c:formatCode>General</c:formatCode>
                <c:ptCount val="4"/>
                <c:pt idx="0">
                  <c:v>-8.0309999999999995E-4</c:v>
                </c:pt>
                <c:pt idx="1">
                  <c:v>-4.4539999999999998E-4</c:v>
                </c:pt>
                <c:pt idx="2">
                  <c:v>9.2464999999999995E-3</c:v>
                </c:pt>
                <c:pt idx="3">
                  <c:v>5.3222E-3</c:v>
                </c:pt>
              </c:numCache>
            </c:numRef>
          </c:val>
          <c:smooth val="0"/>
          <c:extLst>
            <c:ext xmlns:c16="http://schemas.microsoft.com/office/drawing/2014/chart" uri="{C3380CC4-5D6E-409C-BE32-E72D297353CC}">
              <c16:uniqueId val="{00000000-1080-C147-8F08-41D90A4737D7}"/>
            </c:ext>
          </c:extLst>
        </c:ser>
        <c:ser>
          <c:idx val="1"/>
          <c:order val="1"/>
          <c:tx>
            <c:strRef>
              <c:f>Grafer!$F$5</c:f>
              <c:strCache>
                <c:ptCount val="1"/>
                <c:pt idx="0">
                  <c:v>Delta SR</c:v>
                </c:pt>
              </c:strCache>
            </c:strRef>
          </c:tx>
          <c:spPr>
            <a:ln w="38100" cmpd="sng">
              <a:solidFill>
                <a:srgbClr val="B91E2B"/>
              </a:solidFill>
            </a:ln>
          </c:spPr>
          <c:marker>
            <c:symbol val="none"/>
          </c:marker>
          <c:cat>
            <c:numRef>
              <c:f>Grafer!$D$6:$D$9</c:f>
              <c:numCache>
                <c:formatCode>General</c:formatCode>
                <c:ptCount val="4"/>
                <c:pt idx="0">
                  <c:v>2020</c:v>
                </c:pt>
                <c:pt idx="1">
                  <c:v>2021</c:v>
                </c:pt>
                <c:pt idx="2">
                  <c:v>2022</c:v>
                </c:pt>
                <c:pt idx="3">
                  <c:v>2023</c:v>
                </c:pt>
              </c:numCache>
            </c:numRef>
          </c:cat>
          <c:val>
            <c:numRef>
              <c:f>Grafer!$F$6:$F$9</c:f>
              <c:numCache>
                <c:formatCode>General</c:formatCode>
                <c:ptCount val="4"/>
                <c:pt idx="0">
                  <c:v>2.2523999999999999E-3</c:v>
                </c:pt>
                <c:pt idx="1">
                  <c:v>2.9760000000000002E-4</c:v>
                </c:pt>
                <c:pt idx="2">
                  <c:v>7.6778999999999997E-3</c:v>
                </c:pt>
                <c:pt idx="3">
                  <c:v>2.6963500000000001E-2</c:v>
                </c:pt>
              </c:numCache>
            </c:numRef>
          </c:val>
          <c:smooth val="0"/>
          <c:extLst>
            <c:ext xmlns:c16="http://schemas.microsoft.com/office/drawing/2014/chart" uri="{C3380CC4-5D6E-409C-BE32-E72D297353CC}">
              <c16:uniqueId val="{00000001-1080-C147-8F08-41D90A4737D7}"/>
            </c:ext>
          </c:extLst>
        </c:ser>
        <c:dLbls>
          <c:showLegendKey val="0"/>
          <c:showVal val="0"/>
          <c:showCatName val="0"/>
          <c:showSerName val="0"/>
          <c:showPercent val="0"/>
          <c:showBubbleSize val="0"/>
        </c:dLbls>
        <c:smooth val="0"/>
        <c:axId val="616524823"/>
        <c:axId val="1665784463"/>
      </c:lineChart>
      <c:catAx>
        <c:axId val="616524823"/>
        <c:scaling>
          <c:orientation val="minMax"/>
        </c:scaling>
        <c:delete val="0"/>
        <c:axPos val="b"/>
        <c:title>
          <c:tx>
            <c:rich>
              <a:bodyPr/>
              <a:lstStyle/>
              <a:p>
                <a:pPr lvl="0">
                  <a:defRPr sz="1800" b="1">
                    <a:solidFill>
                      <a:srgbClr val="000000"/>
                    </a:solidFill>
                    <a:latin typeface="+mn-lt"/>
                  </a:defRPr>
                </a:pPr>
                <a:r>
                  <a:rPr sz="1800" b="1">
                    <a:solidFill>
                      <a:srgbClr val="000000"/>
                    </a:solidFill>
                    <a:latin typeface="+mn-lt"/>
                  </a:rPr>
                  <a:t>Årtal</a:t>
                </a:r>
              </a:p>
            </c:rich>
          </c:tx>
          <c:overlay val="0"/>
        </c:title>
        <c:numFmt formatCode="General" sourceLinked="1"/>
        <c:majorTickMark val="none"/>
        <c:minorTickMark val="none"/>
        <c:tickLblPos val="nextTo"/>
        <c:txPr>
          <a:bodyPr/>
          <a:lstStyle/>
          <a:p>
            <a:pPr lvl="0">
              <a:defRPr sz="1600" b="1">
                <a:solidFill>
                  <a:srgbClr val="000000"/>
                </a:solidFill>
                <a:latin typeface="+mn-lt"/>
              </a:defRPr>
            </a:pPr>
            <a:endParaRPr lang="en-SE"/>
          </a:p>
        </c:txPr>
        <c:crossAx val="1665784463"/>
        <c:crosses val="autoZero"/>
        <c:auto val="1"/>
        <c:lblAlgn val="ctr"/>
        <c:lblOffset val="100"/>
        <c:noMultiLvlLbl val="1"/>
      </c:catAx>
      <c:valAx>
        <c:axId val="16657844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1400" b="1">
                <a:solidFill>
                  <a:srgbClr val="000000"/>
                </a:solidFill>
                <a:latin typeface="+mn-lt"/>
              </a:defRPr>
            </a:pPr>
            <a:endParaRPr lang="en-SE"/>
          </a:p>
        </c:txPr>
        <c:crossAx val="616524823"/>
        <c:crosses val="autoZero"/>
        <c:crossBetween val="between"/>
      </c:valAx>
    </c:plotArea>
    <c:legend>
      <c:legendPos val="r"/>
      <c:overlay val="0"/>
      <c:txPr>
        <a:bodyPr/>
        <a:lstStyle/>
        <a:p>
          <a:pPr lvl="0">
            <a:defRPr sz="1800" b="0">
              <a:solidFill>
                <a:srgbClr val="1A1A1A"/>
              </a:solidFill>
              <a:latin typeface="+mn-lt"/>
            </a:defRPr>
          </a:pPr>
          <a:endParaRPr lang="en-S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d_WACC, d_SR, d_VM, d_INF och d_EK_TT</a:t>
            </a:r>
          </a:p>
        </c:rich>
      </c:tx>
      <c:overlay val="0"/>
    </c:title>
    <c:autoTitleDeleted val="0"/>
    <c:plotArea>
      <c:layout/>
      <c:lineChart>
        <c:grouping val="standard"/>
        <c:varyColors val="1"/>
        <c:ser>
          <c:idx val="0"/>
          <c:order val="0"/>
          <c:tx>
            <c:strRef>
              <c:f>Blad10!$H$11</c:f>
              <c:strCache>
                <c:ptCount val="1"/>
                <c:pt idx="0">
                  <c:v>d_WACC</c:v>
                </c:pt>
              </c:strCache>
            </c:strRef>
          </c:tx>
          <c:spPr>
            <a:ln cmpd="sng">
              <a:solidFill>
                <a:srgbClr val="0071B9"/>
              </a:solidFill>
            </a:ln>
          </c:spPr>
          <c:marker>
            <c:symbol val="none"/>
          </c:marker>
          <c:cat>
            <c:numRef>
              <c:f>Blad10!$G$12:$G$16</c:f>
              <c:numCache>
                <c:formatCode>General</c:formatCode>
                <c:ptCount val="5"/>
                <c:pt idx="0">
                  <c:v>19</c:v>
                </c:pt>
                <c:pt idx="1">
                  <c:v>20</c:v>
                </c:pt>
                <c:pt idx="2">
                  <c:v>21</c:v>
                </c:pt>
                <c:pt idx="3">
                  <c:v>22</c:v>
                </c:pt>
                <c:pt idx="4">
                  <c:v>23</c:v>
                </c:pt>
              </c:numCache>
            </c:numRef>
          </c:cat>
          <c:val>
            <c:numRef>
              <c:f>Blad10!$H$12:$H$16</c:f>
              <c:numCache>
                <c:formatCode>0.00%</c:formatCode>
                <c:ptCount val="5"/>
                <c:pt idx="1">
                  <c:v>-8.0309999999999995E-4</c:v>
                </c:pt>
                <c:pt idx="2">
                  <c:v>-4.4539999999999998E-4</c:v>
                </c:pt>
                <c:pt idx="3">
                  <c:v>9.2464999999999995E-3</c:v>
                </c:pt>
                <c:pt idx="4">
                  <c:v>5.3222E-3</c:v>
                </c:pt>
              </c:numCache>
            </c:numRef>
          </c:val>
          <c:smooth val="0"/>
          <c:extLst>
            <c:ext xmlns:c16="http://schemas.microsoft.com/office/drawing/2014/chart" uri="{C3380CC4-5D6E-409C-BE32-E72D297353CC}">
              <c16:uniqueId val="{00000000-103D-E945-8FFA-36A68C7ACF04}"/>
            </c:ext>
          </c:extLst>
        </c:ser>
        <c:ser>
          <c:idx val="1"/>
          <c:order val="1"/>
          <c:tx>
            <c:strRef>
              <c:f>Blad10!$I$11</c:f>
              <c:strCache>
                <c:ptCount val="1"/>
                <c:pt idx="0">
                  <c:v>d_SR</c:v>
                </c:pt>
              </c:strCache>
            </c:strRef>
          </c:tx>
          <c:spPr>
            <a:ln cmpd="sng">
              <a:solidFill>
                <a:srgbClr val="B91E2B"/>
              </a:solidFill>
            </a:ln>
          </c:spPr>
          <c:marker>
            <c:symbol val="none"/>
          </c:marker>
          <c:cat>
            <c:numRef>
              <c:f>Blad10!$G$12:$G$16</c:f>
              <c:numCache>
                <c:formatCode>General</c:formatCode>
                <c:ptCount val="5"/>
                <c:pt idx="0">
                  <c:v>19</c:v>
                </c:pt>
                <c:pt idx="1">
                  <c:v>20</c:v>
                </c:pt>
                <c:pt idx="2">
                  <c:v>21</c:v>
                </c:pt>
                <c:pt idx="3">
                  <c:v>22</c:v>
                </c:pt>
                <c:pt idx="4">
                  <c:v>23</c:v>
                </c:pt>
              </c:numCache>
            </c:numRef>
          </c:cat>
          <c:val>
            <c:numRef>
              <c:f>Blad10!$I$12:$I$16</c:f>
              <c:numCache>
                <c:formatCode>0.00%</c:formatCode>
                <c:ptCount val="5"/>
                <c:pt idx="1">
                  <c:v>2.2523999999999999E-3</c:v>
                </c:pt>
                <c:pt idx="2">
                  <c:v>2.9760000000000002E-4</c:v>
                </c:pt>
                <c:pt idx="3">
                  <c:v>7.6778999999999997E-3</c:v>
                </c:pt>
                <c:pt idx="4">
                  <c:v>2.6963500000000001E-2</c:v>
                </c:pt>
              </c:numCache>
            </c:numRef>
          </c:val>
          <c:smooth val="0"/>
          <c:extLst>
            <c:ext xmlns:c16="http://schemas.microsoft.com/office/drawing/2014/chart" uri="{C3380CC4-5D6E-409C-BE32-E72D297353CC}">
              <c16:uniqueId val="{00000001-103D-E945-8FFA-36A68C7ACF04}"/>
            </c:ext>
          </c:extLst>
        </c:ser>
        <c:ser>
          <c:idx val="2"/>
          <c:order val="2"/>
          <c:tx>
            <c:strRef>
              <c:f>Blad10!$J$11</c:f>
              <c:strCache>
                <c:ptCount val="1"/>
                <c:pt idx="0">
                  <c:v>d_VM</c:v>
                </c:pt>
              </c:strCache>
            </c:strRef>
          </c:tx>
          <c:spPr>
            <a:ln cmpd="sng">
              <a:solidFill>
                <a:srgbClr val="5AC1D0"/>
              </a:solidFill>
            </a:ln>
          </c:spPr>
          <c:marker>
            <c:symbol val="none"/>
          </c:marker>
          <c:cat>
            <c:numRef>
              <c:f>Blad10!$G$12:$G$16</c:f>
              <c:numCache>
                <c:formatCode>General</c:formatCode>
                <c:ptCount val="5"/>
                <c:pt idx="0">
                  <c:v>19</c:v>
                </c:pt>
                <c:pt idx="1">
                  <c:v>20</c:v>
                </c:pt>
                <c:pt idx="2">
                  <c:v>21</c:v>
                </c:pt>
                <c:pt idx="3">
                  <c:v>22</c:v>
                </c:pt>
                <c:pt idx="4">
                  <c:v>23</c:v>
                </c:pt>
              </c:numCache>
            </c:numRef>
          </c:cat>
          <c:val>
            <c:numRef>
              <c:f>Blad10!$J$12:$J$16</c:f>
              <c:numCache>
                <c:formatCode>0.00%</c:formatCode>
                <c:ptCount val="5"/>
                <c:pt idx="1">
                  <c:v>-4.9949E-3</c:v>
                </c:pt>
                <c:pt idx="2">
                  <c:v>2.3349999999999999E-2</c:v>
                </c:pt>
                <c:pt idx="3">
                  <c:v>-2.6019400000000002E-2</c:v>
                </c:pt>
                <c:pt idx="4">
                  <c:v>-1.6215500000000001E-2</c:v>
                </c:pt>
              </c:numCache>
            </c:numRef>
          </c:val>
          <c:smooth val="0"/>
          <c:extLst>
            <c:ext xmlns:c16="http://schemas.microsoft.com/office/drawing/2014/chart" uri="{C3380CC4-5D6E-409C-BE32-E72D297353CC}">
              <c16:uniqueId val="{00000002-103D-E945-8FFA-36A68C7ACF04}"/>
            </c:ext>
          </c:extLst>
        </c:ser>
        <c:ser>
          <c:idx val="3"/>
          <c:order val="3"/>
          <c:tx>
            <c:strRef>
              <c:f>Blad10!$K$11</c:f>
              <c:strCache>
                <c:ptCount val="1"/>
                <c:pt idx="0">
                  <c:v>d_INF</c:v>
                </c:pt>
              </c:strCache>
            </c:strRef>
          </c:tx>
          <c:spPr>
            <a:ln cmpd="sng">
              <a:solidFill>
                <a:srgbClr val="F59A00"/>
              </a:solidFill>
            </a:ln>
          </c:spPr>
          <c:marker>
            <c:symbol val="none"/>
          </c:marker>
          <c:cat>
            <c:numRef>
              <c:f>Blad10!$G$12:$G$16</c:f>
              <c:numCache>
                <c:formatCode>General</c:formatCode>
                <c:ptCount val="5"/>
                <c:pt idx="0">
                  <c:v>19</c:v>
                </c:pt>
                <c:pt idx="1">
                  <c:v>20</c:v>
                </c:pt>
                <c:pt idx="2">
                  <c:v>21</c:v>
                </c:pt>
                <c:pt idx="3">
                  <c:v>22</c:v>
                </c:pt>
                <c:pt idx="4">
                  <c:v>23</c:v>
                </c:pt>
              </c:numCache>
            </c:numRef>
          </c:cat>
          <c:val>
            <c:numRef>
              <c:f>Blad10!$K$12:$K$16</c:f>
              <c:numCache>
                <c:formatCode>0.00%</c:formatCode>
                <c:ptCount val="5"/>
                <c:pt idx="1">
                  <c:v>-1.2999999999999999E-2</c:v>
                </c:pt>
                <c:pt idx="2">
                  <c:v>1.7000000000000001E-2</c:v>
                </c:pt>
                <c:pt idx="3">
                  <c:v>6.2E-2</c:v>
                </c:pt>
                <c:pt idx="4">
                  <c:v>1E-3</c:v>
                </c:pt>
              </c:numCache>
            </c:numRef>
          </c:val>
          <c:smooth val="0"/>
          <c:extLst>
            <c:ext xmlns:c16="http://schemas.microsoft.com/office/drawing/2014/chart" uri="{C3380CC4-5D6E-409C-BE32-E72D297353CC}">
              <c16:uniqueId val="{00000003-103D-E945-8FFA-36A68C7ACF04}"/>
            </c:ext>
          </c:extLst>
        </c:ser>
        <c:ser>
          <c:idx val="4"/>
          <c:order val="4"/>
          <c:tx>
            <c:strRef>
              <c:f>Blad10!$L$11</c:f>
              <c:strCache>
                <c:ptCount val="1"/>
                <c:pt idx="0">
                  <c:v>d_EK_TT</c:v>
                </c:pt>
              </c:strCache>
            </c:strRef>
          </c:tx>
          <c:spPr>
            <a:ln cmpd="sng">
              <a:solidFill>
                <a:srgbClr val="9AC331"/>
              </a:solidFill>
            </a:ln>
          </c:spPr>
          <c:marker>
            <c:symbol val="none"/>
          </c:marker>
          <c:cat>
            <c:numRef>
              <c:f>Blad10!$G$12:$G$16</c:f>
              <c:numCache>
                <c:formatCode>General</c:formatCode>
                <c:ptCount val="5"/>
                <c:pt idx="0">
                  <c:v>19</c:v>
                </c:pt>
                <c:pt idx="1">
                  <c:v>20</c:v>
                </c:pt>
                <c:pt idx="2">
                  <c:v>21</c:v>
                </c:pt>
                <c:pt idx="3">
                  <c:v>22</c:v>
                </c:pt>
                <c:pt idx="4">
                  <c:v>23</c:v>
                </c:pt>
              </c:numCache>
            </c:numRef>
          </c:cat>
          <c:val>
            <c:numRef>
              <c:f>Blad10!$L$12:$L$16</c:f>
              <c:numCache>
                <c:formatCode>0.00%</c:formatCode>
                <c:ptCount val="5"/>
                <c:pt idx="1">
                  <c:v>9.9676999999999995E-3</c:v>
                </c:pt>
                <c:pt idx="2">
                  <c:v>1.7808999999999998E-2</c:v>
                </c:pt>
                <c:pt idx="3">
                  <c:v>-5.2223E-3</c:v>
                </c:pt>
                <c:pt idx="4">
                  <c:v>6.3905000000000003E-3</c:v>
                </c:pt>
              </c:numCache>
            </c:numRef>
          </c:val>
          <c:smooth val="0"/>
          <c:extLst>
            <c:ext xmlns:c16="http://schemas.microsoft.com/office/drawing/2014/chart" uri="{C3380CC4-5D6E-409C-BE32-E72D297353CC}">
              <c16:uniqueId val="{00000004-103D-E945-8FFA-36A68C7ACF04}"/>
            </c:ext>
          </c:extLst>
        </c:ser>
        <c:dLbls>
          <c:showLegendKey val="0"/>
          <c:showVal val="0"/>
          <c:showCatName val="0"/>
          <c:showSerName val="0"/>
          <c:showPercent val="0"/>
          <c:showBubbleSize val="0"/>
        </c:dLbls>
        <c:smooth val="0"/>
        <c:axId val="485212859"/>
        <c:axId val="1958641410"/>
      </c:lineChart>
      <c:catAx>
        <c:axId val="4852128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SE"/>
          </a:p>
        </c:txPr>
        <c:crossAx val="1958641410"/>
        <c:crosses val="autoZero"/>
        <c:auto val="1"/>
        <c:lblAlgn val="ctr"/>
        <c:lblOffset val="100"/>
        <c:noMultiLvlLbl val="1"/>
      </c:catAx>
      <c:valAx>
        <c:axId val="1958641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SE"/>
          </a:p>
        </c:txPr>
        <c:crossAx val="485212859"/>
        <c:crosses val="autoZero"/>
        <c:crossBetween val="between"/>
      </c:valAx>
    </c:plotArea>
    <c:legend>
      <c:legendPos val="r"/>
      <c:overlay val="0"/>
      <c:txPr>
        <a:bodyPr/>
        <a:lstStyle/>
        <a:p>
          <a:pPr lvl="0">
            <a:defRPr b="0">
              <a:solidFill>
                <a:srgbClr val="1A1A1A"/>
              </a:solidFill>
              <a:latin typeface="+mn-lt"/>
            </a:defRPr>
          </a:pPr>
          <a:endParaRPr lang="en-SE"/>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3</xdr:col>
      <xdr:colOff>333375</xdr:colOff>
      <xdr:row>11</xdr:row>
      <xdr:rowOff>85725</xdr:rowOff>
    </xdr:from>
    <xdr:ext cx="11696700" cy="7239000"/>
    <xdr:graphicFrame macro="">
      <xdr:nvGraphicFramePr>
        <xdr:cNvPr id="2" name="Chart 1" title="Diagram">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1323975</xdr:colOff>
      <xdr:row>4</xdr:row>
      <xdr:rowOff>76200</xdr:rowOff>
    </xdr:from>
    <xdr:ext cx="5715000" cy="3533775"/>
    <xdr:graphicFrame macro="">
      <xdr:nvGraphicFramePr>
        <xdr:cNvPr id="2" name="Chart 2" title="Diagram">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71B9"/>
      </a:accent1>
      <a:accent2>
        <a:srgbClr val="B91E2B"/>
      </a:accent2>
      <a:accent3>
        <a:srgbClr val="5AC1D0"/>
      </a:accent3>
      <a:accent4>
        <a:srgbClr val="F59A00"/>
      </a:accent4>
      <a:accent5>
        <a:srgbClr val="9AC331"/>
      </a:accent5>
      <a:accent6>
        <a:srgbClr val="8D70B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outlinePr summaryBelow="0" summaryRight="0"/>
  </sheetPr>
  <dimension ref="A1:BR103"/>
  <sheetViews>
    <sheetView tabSelected="1" workbookViewId="0">
      <pane xSplit="1" ySplit="1" topLeftCell="V2" activePane="bottomRight" state="frozen"/>
      <selection pane="topRight" activeCell="B1" sqref="B1"/>
      <selection pane="bottomLeft" activeCell="A2" sqref="A2"/>
      <selection pane="bottomRight" activeCell="AU2" sqref="AU2"/>
    </sheetView>
  </sheetViews>
  <sheetFormatPr baseColWidth="10" defaultColWidth="14.3984375" defaultRowHeight="15.75" customHeight="1" x14ac:dyDescent="0.2"/>
  <cols>
    <col min="1" max="1" width="32.19921875" customWidth="1"/>
    <col min="2" max="4" width="21.59765625" customWidth="1"/>
    <col min="5" max="5" width="30.796875" customWidth="1"/>
    <col min="6" max="25" width="15.796875" customWidth="1"/>
    <col min="26" max="40" width="15.796875" hidden="1" customWidth="1"/>
    <col min="41" max="70" width="15.796875" customWidth="1"/>
  </cols>
  <sheetData>
    <row r="1" spans="1:70" ht="22.5" customHeight="1" x14ac:dyDescent="0.2">
      <c r="A1" s="1" t="s">
        <v>0</v>
      </c>
      <c r="B1" s="2" t="s">
        <v>1</v>
      </c>
      <c r="C1" s="2" t="s">
        <v>2</v>
      </c>
      <c r="D1" s="2" t="s">
        <v>3</v>
      </c>
      <c r="E1" s="3" t="s">
        <v>4</v>
      </c>
      <c r="F1" s="4" t="s">
        <v>5</v>
      </c>
      <c r="G1" s="4" t="s">
        <v>6</v>
      </c>
      <c r="H1" s="4" t="s">
        <v>7</v>
      </c>
      <c r="I1" s="4" t="s">
        <v>8</v>
      </c>
      <c r="J1" s="4" t="s">
        <v>9</v>
      </c>
      <c r="K1" s="5" t="s">
        <v>10</v>
      </c>
      <c r="L1" s="5" t="s">
        <v>11</v>
      </c>
      <c r="M1" s="5" t="s">
        <v>12</v>
      </c>
      <c r="N1" s="5" t="s">
        <v>13</v>
      </c>
      <c r="O1" s="5" t="s">
        <v>14</v>
      </c>
      <c r="P1" s="6" t="s">
        <v>15</v>
      </c>
      <c r="Q1" s="6" t="s">
        <v>16</v>
      </c>
      <c r="R1" s="6" t="s">
        <v>17</v>
      </c>
      <c r="S1" s="7" t="s">
        <v>18</v>
      </c>
      <c r="T1" s="6" t="s">
        <v>19</v>
      </c>
      <c r="U1" s="8" t="s">
        <v>20</v>
      </c>
      <c r="V1" s="8" t="s">
        <v>21</v>
      </c>
      <c r="W1" s="8" t="s">
        <v>22</v>
      </c>
      <c r="X1" s="8" t="s">
        <v>23</v>
      </c>
      <c r="Y1" s="8" t="s">
        <v>24</v>
      </c>
      <c r="Z1" s="9" t="s">
        <v>25</v>
      </c>
      <c r="AA1" s="9" t="s">
        <v>26</v>
      </c>
      <c r="AB1" s="9" t="s">
        <v>27</v>
      </c>
      <c r="AC1" s="9" t="s">
        <v>28</v>
      </c>
      <c r="AD1" s="9" t="s">
        <v>29</v>
      </c>
      <c r="AE1" s="10" t="s">
        <v>30</v>
      </c>
      <c r="AF1" s="10" t="s">
        <v>31</v>
      </c>
      <c r="AG1" s="10" t="s">
        <v>32</v>
      </c>
      <c r="AH1" s="10" t="s">
        <v>33</v>
      </c>
      <c r="AI1" s="10" t="s">
        <v>34</v>
      </c>
      <c r="AJ1" s="9" t="s">
        <v>35</v>
      </c>
      <c r="AK1" s="9" t="s">
        <v>36</v>
      </c>
      <c r="AL1" s="9" t="s">
        <v>37</v>
      </c>
      <c r="AM1" s="9" t="s">
        <v>38</v>
      </c>
      <c r="AN1" s="9" t="s">
        <v>39</v>
      </c>
      <c r="AO1" s="11" t="s">
        <v>40</v>
      </c>
      <c r="AP1" s="11" t="s">
        <v>41</v>
      </c>
      <c r="AQ1" s="11" t="s">
        <v>42</v>
      </c>
      <c r="AR1" s="11" t="s">
        <v>43</v>
      </c>
      <c r="AS1" s="11" t="s">
        <v>44</v>
      </c>
      <c r="AT1" s="12" t="s">
        <v>477</v>
      </c>
      <c r="AU1" s="12" t="s">
        <v>481</v>
      </c>
      <c r="AV1" s="12" t="s">
        <v>478</v>
      </c>
      <c r="AW1" s="12" t="s">
        <v>479</v>
      </c>
      <c r="AX1" s="12" t="s">
        <v>480</v>
      </c>
      <c r="AY1" s="10" t="s">
        <v>45</v>
      </c>
      <c r="AZ1" s="10" t="s">
        <v>46</v>
      </c>
      <c r="BA1" s="10" t="s">
        <v>47</v>
      </c>
      <c r="BB1" s="10" t="s">
        <v>48</v>
      </c>
      <c r="BC1" s="10" t="s">
        <v>49</v>
      </c>
      <c r="BD1" s="9" t="s">
        <v>50</v>
      </c>
      <c r="BE1" s="9" t="s">
        <v>51</v>
      </c>
      <c r="BF1" s="9" t="s">
        <v>52</v>
      </c>
      <c r="BG1" s="9" t="s">
        <v>53</v>
      </c>
      <c r="BH1" s="9" t="s">
        <v>54</v>
      </c>
      <c r="BI1" s="10" t="s">
        <v>55</v>
      </c>
      <c r="BJ1" s="10" t="s">
        <v>56</v>
      </c>
      <c r="BK1" s="10" t="s">
        <v>57</v>
      </c>
      <c r="BL1" s="10" t="s">
        <v>58</v>
      </c>
      <c r="BM1" s="10" t="s">
        <v>59</v>
      </c>
      <c r="BN1" s="9" t="s">
        <v>60</v>
      </c>
      <c r="BO1" s="9" t="s">
        <v>61</v>
      </c>
      <c r="BP1" s="9" t="s">
        <v>62</v>
      </c>
      <c r="BQ1" s="9" t="s">
        <v>63</v>
      </c>
      <c r="BR1" s="9" t="s">
        <v>64</v>
      </c>
    </row>
    <row r="2" spans="1:70" ht="14" x14ac:dyDescent="0.2">
      <c r="A2" s="13" t="s">
        <v>65</v>
      </c>
      <c r="B2" s="14">
        <v>5566692850</v>
      </c>
      <c r="C2" s="14" t="s">
        <v>66</v>
      </c>
      <c r="D2" s="14" t="s">
        <v>67</v>
      </c>
      <c r="E2" s="15" t="s">
        <v>68</v>
      </c>
      <c r="F2" s="16">
        <v>0.1</v>
      </c>
      <c r="G2" s="16">
        <v>0.09</v>
      </c>
      <c r="H2" s="17">
        <v>0.08</v>
      </c>
      <c r="I2" s="16">
        <v>0.08</v>
      </c>
      <c r="J2" s="16">
        <v>0.114</v>
      </c>
      <c r="K2" s="18">
        <v>8.5000000000000006E-2</v>
      </c>
      <c r="L2" s="18">
        <v>8.4000000000000005E-2</v>
      </c>
      <c r="M2" s="18">
        <v>2.1999999999999999E-2</v>
      </c>
      <c r="N2" s="18">
        <v>5.0000000000000001E-3</v>
      </c>
      <c r="O2" s="18">
        <v>1.7999999999999999E-2</v>
      </c>
      <c r="P2" s="19">
        <v>-2.5500000000000002E-3</v>
      </c>
      <c r="Q2" s="19">
        <v>-2.9762000000000001E-4</v>
      </c>
      <c r="R2" s="20">
        <v>0</v>
      </c>
      <c r="S2" s="19">
        <v>7.6778999999999997E-3</v>
      </c>
      <c r="T2" s="19">
        <v>3.4641400000000003E-2</v>
      </c>
      <c r="U2" s="21">
        <v>0</v>
      </c>
      <c r="V2" s="21">
        <v>0</v>
      </c>
      <c r="W2" s="21">
        <v>0</v>
      </c>
      <c r="X2" s="21">
        <v>0</v>
      </c>
      <c r="Y2" s="21">
        <v>0</v>
      </c>
      <c r="Z2" s="22">
        <v>4128</v>
      </c>
      <c r="AA2" s="22">
        <v>3962</v>
      </c>
      <c r="AB2" s="22">
        <v>4013</v>
      </c>
      <c r="AC2" s="22">
        <v>551</v>
      </c>
      <c r="AD2" s="22">
        <v>3884</v>
      </c>
      <c r="AE2" s="23">
        <v>4993000</v>
      </c>
      <c r="AF2" s="23">
        <v>3337000</v>
      </c>
      <c r="AG2" s="23">
        <v>3047000</v>
      </c>
      <c r="AH2" s="23">
        <v>2922000</v>
      </c>
      <c r="AI2" s="23">
        <v>2829000</v>
      </c>
      <c r="AJ2" s="22">
        <v>0.74924894852793911</v>
      </c>
      <c r="AK2" s="22">
        <v>2.3176505843572071</v>
      </c>
      <c r="AL2" s="22">
        <v>1.8093206432556612</v>
      </c>
      <c r="AM2" s="22">
        <v>1.5793976728268309</v>
      </c>
      <c r="AN2" s="22">
        <v>1.7515022976316719</v>
      </c>
      <c r="AO2" s="24">
        <f t="array" ref="AO2">('1100'!G2) / 100</f>
        <v>9.1199999999999989E-2</v>
      </c>
      <c r="AP2" s="24">
        <f t="array" ref="AP2">('1100'!H2) / 100</f>
        <v>5.1699999999999996E-2</v>
      </c>
      <c r="AQ2" s="24">
        <f t="array" ref="AQ2">('1100'!I2) / 100</f>
        <v>5.9500000000000004E-2</v>
      </c>
      <c r="AR2" s="24">
        <f t="array" ref="AR2">('1100'!J2) / 100</f>
        <v>7.8299999999999995E-2</v>
      </c>
      <c r="AS2" s="24">
        <f t="array" ref="AS2">('1100'!K2) / 100</f>
        <v>7.5999999999999998E-2</v>
      </c>
      <c r="AT2" s="25">
        <f t="array" ref="AT2">('1100'!A2) / 100</f>
        <v>0.56000000000000005</v>
      </c>
      <c r="AU2" s="25">
        <f t="array" ref="AU2">('1100'!B2) / 100</f>
        <v>0.442</v>
      </c>
      <c r="AV2" s="25">
        <f t="array" ref="AV2">('1100'!C2) / 100</f>
        <v>0.434</v>
      </c>
      <c r="AW2" s="25">
        <f t="array" ref="AW2">('1100'!D2) / 100</f>
        <v>0.435</v>
      </c>
      <c r="AX2" s="25">
        <f t="array" ref="AX2">('1100'!E2) / 100</f>
        <v>0.45100000000000001</v>
      </c>
      <c r="AY2" s="23">
        <v>46201000</v>
      </c>
      <c r="AZ2" s="23">
        <v>50775000</v>
      </c>
      <c r="BA2" s="23">
        <v>35994000</v>
      </c>
      <c r="BB2" s="23">
        <v>28298000</v>
      </c>
      <c r="BC2" s="23">
        <v>28703000</v>
      </c>
      <c r="BD2" s="22">
        <v>2712000</v>
      </c>
      <c r="BE2" s="22">
        <v>2538000</v>
      </c>
      <c r="BF2" s="22">
        <v>2270000</v>
      </c>
      <c r="BG2" s="22">
        <v>2103000</v>
      </c>
      <c r="BH2" s="22">
        <v>2114000</v>
      </c>
      <c r="BI2" s="23">
        <v>30551000</v>
      </c>
      <c r="BJ2" s="23">
        <v>33990000</v>
      </c>
      <c r="BK2" s="23">
        <v>27166000</v>
      </c>
      <c r="BL2" s="23">
        <v>22278000</v>
      </c>
      <c r="BM2" s="23">
        <v>22919000</v>
      </c>
      <c r="BN2" s="22">
        <v>17117000</v>
      </c>
      <c r="BO2" s="22">
        <v>15036000</v>
      </c>
      <c r="BP2" s="22">
        <v>11783000</v>
      </c>
      <c r="BQ2" s="22">
        <v>9699000</v>
      </c>
      <c r="BR2" s="22">
        <v>10337000</v>
      </c>
    </row>
    <row r="3" spans="1:70" ht="14" x14ac:dyDescent="0.2">
      <c r="A3" s="13" t="s">
        <v>69</v>
      </c>
      <c r="B3" s="14">
        <v>5563029726</v>
      </c>
      <c r="C3" s="14" t="s">
        <v>70</v>
      </c>
      <c r="D3" s="14" t="s">
        <v>67</v>
      </c>
      <c r="E3" s="15" t="s">
        <v>68</v>
      </c>
      <c r="F3" s="16">
        <v>0.13</v>
      </c>
      <c r="G3" s="16">
        <v>0.13</v>
      </c>
      <c r="H3" s="17">
        <v>0.13</v>
      </c>
      <c r="I3" s="16">
        <v>0.11</v>
      </c>
      <c r="J3" s="16">
        <v>0.11</v>
      </c>
      <c r="K3" s="18">
        <v>8.5000000000000006E-2</v>
      </c>
      <c r="L3" s="18">
        <v>8.4000000000000005E-2</v>
      </c>
      <c r="M3" s="18">
        <v>2.1999999999999999E-2</v>
      </c>
      <c r="N3" s="18">
        <v>5.0000000000000001E-3</v>
      </c>
      <c r="O3" s="18">
        <v>1.7999999999999999E-2</v>
      </c>
      <c r="P3" s="19">
        <v>-2.5500000000000002E-3</v>
      </c>
      <c r="Q3" s="19">
        <v>-2.9762000000000001E-4</v>
      </c>
      <c r="R3" s="20">
        <v>0</v>
      </c>
      <c r="S3" s="19">
        <v>7.6778999999999997E-3</v>
      </c>
      <c r="T3" s="19">
        <v>3.4641400000000003E-2</v>
      </c>
      <c r="U3" s="21">
        <v>0</v>
      </c>
      <c r="V3" s="21">
        <v>0</v>
      </c>
      <c r="W3" s="21">
        <v>0</v>
      </c>
      <c r="X3" s="21">
        <v>0</v>
      </c>
      <c r="Y3" s="21">
        <v>0</v>
      </c>
      <c r="Z3" s="22">
        <v>4109</v>
      </c>
      <c r="AA3" s="22">
        <v>3781</v>
      </c>
      <c r="AB3" s="22">
        <v>3317</v>
      </c>
      <c r="AC3" s="22">
        <v>3068</v>
      </c>
      <c r="AD3" s="22">
        <v>2913</v>
      </c>
      <c r="AE3" s="23">
        <v>3245000</v>
      </c>
      <c r="AF3" s="23">
        <v>2872000</v>
      </c>
      <c r="AG3" s="23">
        <v>2933000</v>
      </c>
      <c r="AH3" s="23">
        <v>1501</v>
      </c>
      <c r="AI3" s="23">
        <v>1579000</v>
      </c>
      <c r="AJ3" s="22">
        <v>1.4434514637904468</v>
      </c>
      <c r="AK3" s="22">
        <v>1.4860724233983287</v>
      </c>
      <c r="AL3" s="22">
        <v>0.91851346743948181</v>
      </c>
      <c r="AM3" s="22">
        <v>2.408394403730846</v>
      </c>
      <c r="AN3" s="22">
        <v>1.7555414819506017</v>
      </c>
      <c r="AO3" s="24">
        <f t="array" ref="AO3">('1100'!G3) / 100</f>
        <v>0.1235</v>
      </c>
      <c r="AP3" s="24">
        <f t="array" ref="AP3">('1100'!H3) / 100</f>
        <v>0.11650000000000001</v>
      </c>
      <c r="AQ3" s="24">
        <f t="array" ref="AQ3">('1100'!I3) / 100</f>
        <v>0.1072</v>
      </c>
      <c r="AR3" s="24">
        <f t="array" ref="AR3">('1100'!J3) / 100</f>
        <v>8.8399999999999992E-2</v>
      </c>
      <c r="AS3" s="24">
        <f t="array" ref="AS3">('1100'!K3) / 100</f>
        <v>9.9399999999999988E-2</v>
      </c>
      <c r="AT3" s="25">
        <f t="array" ref="AT3">('1100'!A3) / 100</f>
        <v>0.35899999999999999</v>
      </c>
      <c r="AU3" s="25">
        <f t="array" ref="AU3">('1100'!B3) / 100</f>
        <v>0.33899999999999997</v>
      </c>
      <c r="AV3" s="25">
        <f t="array" ref="AV3">('1100'!C3) / 100</f>
        <v>0.316</v>
      </c>
      <c r="AW3" s="25">
        <f t="array" ref="AW3">('1100'!D3) / 100</f>
        <v>0.32799999999999996</v>
      </c>
      <c r="AX3" s="25">
        <f t="array" ref="AX3">('1100'!E3) / 100</f>
        <v>0.35499999999999998</v>
      </c>
      <c r="AY3" s="23">
        <v>20117000</v>
      </c>
      <c r="AZ3" s="23">
        <v>18834000</v>
      </c>
      <c r="BA3" s="23">
        <v>14138000</v>
      </c>
      <c r="BB3" s="23">
        <v>11416</v>
      </c>
      <c r="BC3" s="23">
        <v>11851000</v>
      </c>
      <c r="BD3" s="22">
        <v>4716000</v>
      </c>
      <c r="BE3" s="22">
        <v>3935000</v>
      </c>
      <c r="BF3" s="22">
        <v>3306000</v>
      </c>
      <c r="BG3" s="22">
        <v>2727000</v>
      </c>
      <c r="BH3" s="22">
        <v>1997000</v>
      </c>
      <c r="BI3" s="23">
        <v>16657000</v>
      </c>
      <c r="BJ3" s="23">
        <v>15271000</v>
      </c>
      <c r="BK3" s="23">
        <v>12427000</v>
      </c>
      <c r="BL3" s="23">
        <v>9806</v>
      </c>
      <c r="BM3" s="23">
        <v>8506000</v>
      </c>
      <c r="BN3" s="22">
        <v>5974000</v>
      </c>
      <c r="BO3" s="22">
        <v>5184000</v>
      </c>
      <c r="BP3" s="22">
        <v>3931000</v>
      </c>
      <c r="BQ3" s="22">
        <v>3219000</v>
      </c>
      <c r="BR3" s="22">
        <v>3018000</v>
      </c>
    </row>
    <row r="4" spans="1:70" ht="14" x14ac:dyDescent="0.2">
      <c r="A4" s="13" t="s">
        <v>71</v>
      </c>
      <c r="B4" s="14">
        <v>5561206474</v>
      </c>
      <c r="C4" s="14" t="s">
        <v>72</v>
      </c>
      <c r="D4" s="14" t="s">
        <v>67</v>
      </c>
      <c r="E4" s="15" t="s">
        <v>68</v>
      </c>
      <c r="F4" s="16">
        <v>0.125</v>
      </c>
      <c r="G4" s="16">
        <v>0.11</v>
      </c>
      <c r="H4" s="17">
        <v>0.09</v>
      </c>
      <c r="I4" s="16">
        <v>0.09</v>
      </c>
      <c r="J4" s="16">
        <v>9.5000000000000001E-2</v>
      </c>
      <c r="K4" s="18">
        <v>8.5000000000000006E-2</v>
      </c>
      <c r="L4" s="18">
        <v>8.4000000000000005E-2</v>
      </c>
      <c r="M4" s="18">
        <v>2.1999999999999999E-2</v>
      </c>
      <c r="N4" s="18">
        <v>5.0000000000000001E-3</v>
      </c>
      <c r="O4" s="18">
        <v>1.7999999999999999E-2</v>
      </c>
      <c r="P4" s="19">
        <v>-2.5500000000000002E-3</v>
      </c>
      <c r="Q4" s="19">
        <v>-2.9762000000000001E-4</v>
      </c>
      <c r="R4" s="20">
        <v>0</v>
      </c>
      <c r="S4" s="19">
        <v>7.6778999999999997E-3</v>
      </c>
      <c r="T4" s="19">
        <v>3.4641400000000003E-2</v>
      </c>
      <c r="U4" s="21">
        <v>0</v>
      </c>
      <c r="V4" s="21">
        <v>0</v>
      </c>
      <c r="W4" s="21">
        <v>0</v>
      </c>
      <c r="X4" s="21">
        <v>0</v>
      </c>
      <c r="Y4" s="21">
        <v>0</v>
      </c>
      <c r="Z4" s="22">
        <v>18228</v>
      </c>
      <c r="AA4" s="22">
        <v>17340</v>
      </c>
      <c r="AB4" s="22">
        <v>15647</v>
      </c>
      <c r="AC4" s="22">
        <v>15271</v>
      </c>
      <c r="AD4" s="22">
        <v>14680</v>
      </c>
      <c r="AE4" s="23">
        <v>2559000</v>
      </c>
      <c r="AF4" s="23">
        <v>2146000</v>
      </c>
      <c r="AG4" s="23">
        <v>2221000</v>
      </c>
      <c r="AH4" s="23">
        <v>2126000</v>
      </c>
      <c r="AI4" s="23">
        <v>1933000</v>
      </c>
      <c r="AJ4" s="22">
        <v>2.3712387651426337</v>
      </c>
      <c r="AK4" s="22">
        <v>3.0950605778191984</v>
      </c>
      <c r="AL4" s="22">
        <v>3.0283656010805942</v>
      </c>
      <c r="AM4" s="22">
        <v>3.3795860771401691</v>
      </c>
      <c r="AN4" s="22">
        <v>4.1282979824107606</v>
      </c>
      <c r="AO4" s="24">
        <f t="array" ref="AO4">('1100'!G4) / 100</f>
        <v>8.5600000000000009E-2</v>
      </c>
      <c r="AP4" s="24">
        <f t="array" ref="AP4">('1100'!H4) / 100</f>
        <v>9.4299999999999995E-2</v>
      </c>
      <c r="AQ4" s="24">
        <f t="array" ref="AQ4">('1100'!I4) / 100</f>
        <v>8.7799999999999989E-2</v>
      </c>
      <c r="AR4" s="24">
        <f t="array" ref="AR4">('1100'!J4) / 100</f>
        <v>9.2200000000000004E-2</v>
      </c>
      <c r="AS4" s="24">
        <f t="array" ref="AS4">('1100'!K4) / 100</f>
        <v>7.3499999999999996E-2</v>
      </c>
      <c r="AT4" s="25">
        <f t="array" ref="AT4">('1100'!A4) / 100</f>
        <v>0.442</v>
      </c>
      <c r="AU4" s="25">
        <f t="array" ref="AU4">('1100'!B4) / 100</f>
        <v>0.435</v>
      </c>
      <c r="AV4" s="25">
        <f t="array" ref="AV4">('1100'!C4) / 100</f>
        <v>0.42399999999999999</v>
      </c>
      <c r="AW4" s="25">
        <f t="array" ref="AW4">('1100'!D4) / 100</f>
        <v>0.42799999999999999</v>
      </c>
      <c r="AX4" s="25">
        <f t="array" ref="AX4">('1100'!E4) / 100</f>
        <v>0.38400000000000001</v>
      </c>
      <c r="AY4" s="23">
        <v>26986000</v>
      </c>
      <c r="AZ4" s="23">
        <v>23658000</v>
      </c>
      <c r="BA4" s="23">
        <v>20167000</v>
      </c>
      <c r="BB4" s="23">
        <v>19194000</v>
      </c>
      <c r="BC4" s="23">
        <v>19823000</v>
      </c>
      <c r="BD4" s="22">
        <v>14778000</v>
      </c>
      <c r="BE4" s="22">
        <v>14431000</v>
      </c>
      <c r="BF4" s="22">
        <v>12814000</v>
      </c>
      <c r="BG4" s="22">
        <v>11460000</v>
      </c>
      <c r="BH4" s="22">
        <v>11768000</v>
      </c>
      <c r="BI4" s="23">
        <v>28172000</v>
      </c>
      <c r="BJ4" s="23">
        <v>27996000</v>
      </c>
      <c r="BK4" s="23">
        <v>25913000</v>
      </c>
      <c r="BL4" s="23">
        <v>23610000</v>
      </c>
      <c r="BM4" s="23">
        <v>24375000</v>
      </c>
      <c r="BN4" s="22">
        <v>12453000</v>
      </c>
      <c r="BO4" s="22">
        <v>12176000</v>
      </c>
      <c r="BP4" s="22">
        <v>10992000</v>
      </c>
      <c r="BQ4" s="22">
        <v>10096000</v>
      </c>
      <c r="BR4" s="22">
        <v>9367000</v>
      </c>
    </row>
    <row r="5" spans="1:70" ht="14" x14ac:dyDescent="0.2">
      <c r="A5" s="13" t="s">
        <v>73</v>
      </c>
      <c r="B5" s="14">
        <v>5560094178</v>
      </c>
      <c r="C5" s="14" t="s">
        <v>74</v>
      </c>
      <c r="D5" s="14" t="s">
        <v>67</v>
      </c>
      <c r="E5" s="15" t="s">
        <v>68</v>
      </c>
      <c r="F5" s="16">
        <v>0.14799999999999999</v>
      </c>
      <c r="G5" s="16">
        <v>0.106</v>
      </c>
      <c r="H5" s="17">
        <v>9.5000000000000001E-2</v>
      </c>
      <c r="I5" s="16">
        <v>9.5000000000000001E-2</v>
      </c>
      <c r="J5" s="16">
        <v>8.3000000000000004E-2</v>
      </c>
      <c r="K5" s="18">
        <v>8.5000000000000006E-2</v>
      </c>
      <c r="L5" s="18">
        <v>8.4000000000000005E-2</v>
      </c>
      <c r="M5" s="18">
        <v>2.1999999999999999E-2</v>
      </c>
      <c r="N5" s="18">
        <v>5.0000000000000001E-3</v>
      </c>
      <c r="O5" s="18">
        <v>1.7999999999999999E-2</v>
      </c>
      <c r="P5" s="19">
        <v>-2.5500000000000002E-3</v>
      </c>
      <c r="Q5" s="19">
        <v>-2.9762000000000001E-4</v>
      </c>
      <c r="R5" s="20">
        <v>0</v>
      </c>
      <c r="S5" s="19">
        <v>7.6778999999999997E-3</v>
      </c>
      <c r="T5" s="19">
        <v>3.4641400000000003E-2</v>
      </c>
      <c r="U5" s="21">
        <v>0</v>
      </c>
      <c r="V5" s="21">
        <v>0</v>
      </c>
      <c r="W5" s="21">
        <v>0</v>
      </c>
      <c r="X5" s="21">
        <v>0</v>
      </c>
      <c r="Y5" s="21">
        <v>0</v>
      </c>
      <c r="Z5" s="22">
        <v>45452</v>
      </c>
      <c r="AA5" s="22">
        <v>50769</v>
      </c>
      <c r="AB5" s="22">
        <v>51590</v>
      </c>
      <c r="AC5" s="22">
        <v>47543</v>
      </c>
      <c r="AD5" s="22">
        <v>48652</v>
      </c>
      <c r="AE5" s="23">
        <v>3289000</v>
      </c>
      <c r="AF5" s="23">
        <v>4178000</v>
      </c>
      <c r="AG5" s="23">
        <v>11290000</v>
      </c>
      <c r="AH5" s="23">
        <v>10365000</v>
      </c>
      <c r="AI5" s="23">
        <v>8293000</v>
      </c>
      <c r="AJ5" s="22">
        <v>9.8193979933110374</v>
      </c>
      <c r="AK5" s="22">
        <v>7.8216850167544276</v>
      </c>
      <c r="AL5" s="22">
        <v>1.1385296722763507</v>
      </c>
      <c r="AM5" s="22">
        <v>1.539507959479016</v>
      </c>
      <c r="AN5" s="22">
        <v>1.3420957433980465</v>
      </c>
      <c r="AO5" s="24">
        <f t="array" ref="AO5">('1100'!G5) / 100</f>
        <v>-1.9E-2</v>
      </c>
      <c r="AP5" s="24">
        <f t="array" ref="AP5">('1100'!H5) / 100</f>
        <v>-7.000000000000001E-4</v>
      </c>
      <c r="AQ5" s="24">
        <f t="array" ref="AQ5">('1100'!I5) / 100</f>
        <v>5.45E-2</v>
      </c>
      <c r="AR5" s="24">
        <f t="array" ref="AR5">('1100'!J5) / 100</f>
        <v>5.0499999999999996E-2</v>
      </c>
      <c r="AS5" s="24">
        <f t="array" ref="AS5">('1100'!K5) / 100</f>
        <v>2.7400000000000001E-2</v>
      </c>
      <c r="AT5" s="25">
        <f t="array" ref="AT5">('1100'!A5) / 100</f>
        <v>9.4E-2</v>
      </c>
      <c r="AU5" s="25">
        <f t="array" ref="AU5">('1100'!B5) / 100</f>
        <v>0.129</v>
      </c>
      <c r="AV5" s="25">
        <f t="array" ref="AV5">('1100'!C5) / 100</f>
        <v>0.17300000000000001</v>
      </c>
      <c r="AW5" s="25">
        <f t="array" ref="AW5">('1100'!D5) / 100</f>
        <v>0.188</v>
      </c>
      <c r="AX5" s="25">
        <f t="array" ref="AX5">('1100'!E5) / 100</f>
        <v>0.21100000000000002</v>
      </c>
      <c r="AY5" s="23">
        <v>134667000</v>
      </c>
      <c r="AZ5" s="23">
        <v>135711000</v>
      </c>
      <c r="BA5" s="23">
        <v>125631000</v>
      </c>
      <c r="BB5" s="23">
        <v>115960000</v>
      </c>
      <c r="BC5" s="23">
        <v>120038000</v>
      </c>
      <c r="BD5" s="22">
        <v>6579000</v>
      </c>
      <c r="BE5" s="22">
        <v>7081000</v>
      </c>
      <c r="BF5" s="22">
        <v>6690000</v>
      </c>
      <c r="BG5" s="22">
        <v>6369000</v>
      </c>
      <c r="BH5" s="22">
        <v>7071000</v>
      </c>
      <c r="BI5" s="23">
        <v>120053000</v>
      </c>
      <c r="BJ5" s="23">
        <v>127102000</v>
      </c>
      <c r="BK5" s="23">
        <v>107607000</v>
      </c>
      <c r="BL5" s="23">
        <v>99604000</v>
      </c>
      <c r="BM5" s="23">
        <v>106808000</v>
      </c>
      <c r="BN5" s="22">
        <v>11268000</v>
      </c>
      <c r="BO5" s="22">
        <v>16443000</v>
      </c>
      <c r="BP5" s="22">
        <v>18604000</v>
      </c>
      <c r="BQ5" s="22">
        <v>18702000</v>
      </c>
      <c r="BR5" s="22">
        <v>22566000</v>
      </c>
    </row>
    <row r="6" spans="1:70" ht="14" x14ac:dyDescent="0.2">
      <c r="A6" s="13" t="s">
        <v>75</v>
      </c>
      <c r="B6" s="14">
        <v>5560073495</v>
      </c>
      <c r="C6" s="14" t="s">
        <v>76</v>
      </c>
      <c r="D6" s="14" t="s">
        <v>67</v>
      </c>
      <c r="E6" s="15" t="s">
        <v>68</v>
      </c>
      <c r="F6" s="16">
        <v>0.13</v>
      </c>
      <c r="G6" s="16">
        <v>0.106</v>
      </c>
      <c r="H6" s="17">
        <v>9.4500000000000001E-2</v>
      </c>
      <c r="I6" s="16">
        <v>0.106</v>
      </c>
      <c r="J6" s="16">
        <v>0.1135</v>
      </c>
      <c r="K6" s="18">
        <v>8.5000000000000006E-2</v>
      </c>
      <c r="L6" s="18">
        <v>8.4000000000000005E-2</v>
      </c>
      <c r="M6" s="18">
        <v>2.1999999999999999E-2</v>
      </c>
      <c r="N6" s="18">
        <v>5.0000000000000001E-3</v>
      </c>
      <c r="O6" s="18">
        <v>1.7999999999999999E-2</v>
      </c>
      <c r="P6" s="19">
        <v>-2.5500000000000002E-3</v>
      </c>
      <c r="Q6" s="19">
        <v>-2.9762000000000001E-4</v>
      </c>
      <c r="R6" s="20">
        <v>0</v>
      </c>
      <c r="S6" s="19">
        <v>7.6778999999999997E-3</v>
      </c>
      <c r="T6" s="19">
        <v>3.4641400000000003E-2</v>
      </c>
      <c r="U6" s="21">
        <v>0</v>
      </c>
      <c r="V6" s="21">
        <v>0</v>
      </c>
      <c r="W6" s="21">
        <v>0</v>
      </c>
      <c r="X6" s="21">
        <v>0</v>
      </c>
      <c r="Y6" s="21">
        <v>0</v>
      </c>
      <c r="Z6" s="22">
        <v>39672</v>
      </c>
      <c r="AA6" s="22">
        <v>40773</v>
      </c>
      <c r="AB6" s="22">
        <v>40861</v>
      </c>
      <c r="AC6" s="22">
        <v>38385</v>
      </c>
      <c r="AD6" s="22">
        <v>41559</v>
      </c>
      <c r="AE6" s="23">
        <v>15872000</v>
      </c>
      <c r="AF6" s="23">
        <v>11461000</v>
      </c>
      <c r="AG6" s="23">
        <v>14063000</v>
      </c>
      <c r="AH6" s="23">
        <v>10439000</v>
      </c>
      <c r="AI6" s="23">
        <v>12891000</v>
      </c>
      <c r="AJ6" s="22">
        <v>1.1326234879032258</v>
      </c>
      <c r="AK6" s="22">
        <v>1.9741732833086119</v>
      </c>
      <c r="AL6" s="22">
        <v>1.1764915025243547</v>
      </c>
      <c r="AM6" s="22">
        <v>1.7272727272727273</v>
      </c>
      <c r="AN6" s="22">
        <v>2.6066247769761848</v>
      </c>
      <c r="AO6" s="24">
        <f t="array" ref="AO6">('1100'!G6) / 100</f>
        <v>0.11259999999999999</v>
      </c>
      <c r="AP6" s="24">
        <f t="array" ref="AP6">('1100'!H6) / 100</f>
        <v>8.929999999999999E-2</v>
      </c>
      <c r="AQ6" s="24">
        <f t="array" ref="AQ6">('1100'!I6) / 100</f>
        <v>0.13269999999999998</v>
      </c>
      <c r="AR6" s="24">
        <f t="array" ref="AR6">('1100'!J6) / 100</f>
        <v>9.5399999999999985E-2</v>
      </c>
      <c r="AS6" s="24">
        <f t="array" ref="AS6">('1100'!K6) / 100</f>
        <v>0.11259999999999999</v>
      </c>
      <c r="AT6" s="25">
        <f t="array" ref="AT6">('1100'!A6) / 100</f>
        <v>0.47100000000000003</v>
      </c>
      <c r="AU6" s="25">
        <f t="array" ref="AU6">('1100'!B6) / 100</f>
        <v>0.46799999999999997</v>
      </c>
      <c r="AV6" s="25">
        <f t="array" ref="AV6">('1100'!C6) / 100</f>
        <v>0.43799999999999994</v>
      </c>
      <c r="AW6" s="25">
        <f t="array" ref="AW6">('1100'!D6) / 100</f>
        <v>0.379</v>
      </c>
      <c r="AX6" s="25">
        <f t="array" ref="AX6">('1100'!E6) / 100</f>
        <v>0.377</v>
      </c>
      <c r="AY6" s="23">
        <v>106637000</v>
      </c>
      <c r="AZ6" s="23">
        <v>98278000</v>
      </c>
      <c r="BA6" s="23">
        <v>82941000</v>
      </c>
      <c r="BB6" s="23">
        <v>75185000</v>
      </c>
      <c r="BC6" s="23">
        <v>86285000</v>
      </c>
      <c r="BD6" s="22">
        <v>11962000</v>
      </c>
      <c r="BE6" s="22">
        <v>12351000</v>
      </c>
      <c r="BF6" s="22">
        <v>10924000</v>
      </c>
      <c r="BG6" s="22">
        <v>10117000</v>
      </c>
      <c r="BH6" s="22">
        <v>11251000</v>
      </c>
      <c r="BI6" s="23">
        <v>111903000</v>
      </c>
      <c r="BJ6" s="23">
        <v>110923000</v>
      </c>
      <c r="BK6" s="23">
        <v>99628000</v>
      </c>
      <c r="BL6" s="23">
        <v>90557000</v>
      </c>
      <c r="BM6" s="23">
        <v>94108000</v>
      </c>
      <c r="BN6" s="22">
        <v>52743000</v>
      </c>
      <c r="BO6" s="22">
        <v>51927000</v>
      </c>
      <c r="BP6" s="22">
        <v>43645000</v>
      </c>
      <c r="BQ6" s="22">
        <v>34309000</v>
      </c>
      <c r="BR6" s="22">
        <v>35512000</v>
      </c>
    </row>
    <row r="7" spans="1:70" ht="14" x14ac:dyDescent="0.2">
      <c r="A7" s="13" t="s">
        <v>77</v>
      </c>
      <c r="B7" s="14">
        <v>5560125790</v>
      </c>
      <c r="C7" s="14" t="s">
        <v>78</v>
      </c>
      <c r="D7" s="14" t="s">
        <v>67</v>
      </c>
      <c r="E7" s="15" t="s">
        <v>79</v>
      </c>
      <c r="F7" s="16">
        <v>0.1</v>
      </c>
      <c r="G7" s="16">
        <v>0.1</v>
      </c>
      <c r="H7" s="17">
        <v>0.1</v>
      </c>
      <c r="I7" s="16">
        <v>0.1</v>
      </c>
      <c r="J7" s="16">
        <v>0.1</v>
      </c>
      <c r="K7" s="18">
        <v>8.5000000000000006E-2</v>
      </c>
      <c r="L7" s="18">
        <v>8.4000000000000005E-2</v>
      </c>
      <c r="M7" s="18">
        <v>2.1999999999999999E-2</v>
      </c>
      <c r="N7" s="18">
        <v>5.0000000000000001E-3</v>
      </c>
      <c r="O7" s="18">
        <v>1.7999999999999999E-2</v>
      </c>
      <c r="P7" s="19">
        <v>-2.5500000000000002E-3</v>
      </c>
      <c r="Q7" s="19">
        <v>-2.9762000000000001E-4</v>
      </c>
      <c r="R7" s="20">
        <v>0</v>
      </c>
      <c r="S7" s="19">
        <v>7.6778999999999997E-3</v>
      </c>
      <c r="T7" s="19">
        <v>3.4641400000000003E-2</v>
      </c>
      <c r="U7" s="21">
        <v>0</v>
      </c>
      <c r="V7" s="21">
        <v>0</v>
      </c>
      <c r="W7" s="21">
        <v>0</v>
      </c>
      <c r="X7" s="21">
        <v>0</v>
      </c>
      <c r="Y7" s="21">
        <v>0</v>
      </c>
      <c r="Z7" s="22">
        <v>89282</v>
      </c>
      <c r="AA7" s="22">
        <v>86316</v>
      </c>
      <c r="AB7" s="22">
        <v>83958</v>
      </c>
      <c r="AC7" s="22">
        <v>89573</v>
      </c>
      <c r="AD7" s="22">
        <v>93731</v>
      </c>
      <c r="AE7" s="23">
        <v>88011000</v>
      </c>
      <c r="AF7" s="23">
        <v>66441000</v>
      </c>
      <c r="AG7" s="23">
        <v>61794000</v>
      </c>
      <c r="AH7" s="23">
        <v>48516000</v>
      </c>
      <c r="AI7" s="23">
        <v>52494000</v>
      </c>
      <c r="AJ7" s="22">
        <v>2.0993966663258004</v>
      </c>
      <c r="AK7" s="22">
        <v>2.7711804458090636</v>
      </c>
      <c r="AL7" s="22">
        <v>2.2819043920121693</v>
      </c>
      <c r="AM7" s="22">
        <v>2.609242311814659</v>
      </c>
      <c r="AN7" s="22">
        <v>2.6274812359507753</v>
      </c>
      <c r="AO7" s="24">
        <f t="array" ref="AO7">('1100'!G7) / 100</f>
        <v>0.12570000000000001</v>
      </c>
      <c r="AP7" s="24">
        <f t="array" ref="AP7">('1100'!H7) / 100</f>
        <v>9.8699999999999996E-2</v>
      </c>
      <c r="AQ7" s="24">
        <f t="array" ref="AQ7">('1100'!I7) / 100</f>
        <v>0.1192</v>
      </c>
      <c r="AR7" s="24">
        <f t="array" ref="AR7">('1100'!J7) / 100</f>
        <v>8.2100000000000006E-2</v>
      </c>
      <c r="AS7" s="24">
        <f t="array" ref="AS7">('1100'!K7) / 100</f>
        <v>0.11539999999999999</v>
      </c>
      <c r="AT7" s="25">
        <f t="array" ref="AT7">('1100'!A7) / 100</f>
        <v>0.26400000000000001</v>
      </c>
      <c r="AU7" s="25">
        <f t="array" ref="AU7">('1100'!B7) / 100</f>
        <v>0.25900000000000001</v>
      </c>
      <c r="AV7" s="25">
        <f t="array" ref="AV7">('1100'!C7) / 100</f>
        <v>0.27300000000000002</v>
      </c>
      <c r="AW7" s="25">
        <f t="array" ref="AW7">('1100'!D7) / 100</f>
        <v>0.28399999999999997</v>
      </c>
      <c r="AX7" s="25">
        <f t="array" ref="AX7">('1100'!E7) / 100</f>
        <v>0.27</v>
      </c>
      <c r="AY7" s="23">
        <v>552764000</v>
      </c>
      <c r="AZ7" s="23">
        <v>473611000</v>
      </c>
      <c r="BA7" s="23">
        <v>372462000</v>
      </c>
      <c r="BB7" s="23">
        <v>340195000</v>
      </c>
      <c r="BC7" s="23">
        <v>434124000</v>
      </c>
      <c r="BD7" s="22">
        <v>24861000</v>
      </c>
      <c r="BE7" s="22">
        <v>25636000</v>
      </c>
      <c r="BF7" s="22">
        <v>23924000</v>
      </c>
      <c r="BG7" s="22">
        <v>22981000</v>
      </c>
      <c r="BH7" s="22">
        <v>24135000</v>
      </c>
      <c r="BI7" s="23">
        <v>674068000</v>
      </c>
      <c r="BJ7" s="23">
        <v>629064000</v>
      </c>
      <c r="BK7" s="23">
        <v>515856000</v>
      </c>
      <c r="BL7" s="23">
        <v>510821000</v>
      </c>
      <c r="BM7" s="23">
        <v>524837000</v>
      </c>
      <c r="BN7" s="22">
        <v>177791000</v>
      </c>
      <c r="BO7" s="22">
        <v>162717000</v>
      </c>
      <c r="BP7" s="22">
        <v>141045000</v>
      </c>
      <c r="BQ7" s="22">
        <v>145295000</v>
      </c>
      <c r="BR7" s="22">
        <v>141677000</v>
      </c>
    </row>
    <row r="8" spans="1:70" ht="14" x14ac:dyDescent="0.2">
      <c r="A8" s="13" t="s">
        <v>80</v>
      </c>
      <c r="B8" s="14">
        <v>5565878054</v>
      </c>
      <c r="C8" s="14" t="s">
        <v>81</v>
      </c>
      <c r="D8" s="14" t="s">
        <v>67</v>
      </c>
      <c r="E8" s="15" t="s">
        <v>82</v>
      </c>
      <c r="F8" s="16">
        <v>9.9699999999999997E-2</v>
      </c>
      <c r="G8" s="16">
        <v>9.8599999999999993E-2</v>
      </c>
      <c r="H8" s="17">
        <v>9.11E-2</v>
      </c>
      <c r="I8" s="16">
        <v>9.69E-2</v>
      </c>
      <c r="J8" s="16">
        <v>9.1899999999999996E-2</v>
      </c>
      <c r="K8" s="18">
        <v>8.5000000000000006E-2</v>
      </c>
      <c r="L8" s="18">
        <v>8.4000000000000005E-2</v>
      </c>
      <c r="M8" s="18">
        <v>2.1999999999999999E-2</v>
      </c>
      <c r="N8" s="18">
        <v>5.0000000000000001E-3</v>
      </c>
      <c r="O8" s="18">
        <v>1.7999999999999999E-2</v>
      </c>
      <c r="P8" s="19">
        <v>-2.5500000000000002E-3</v>
      </c>
      <c r="Q8" s="19">
        <v>-2.9762000000000001E-4</v>
      </c>
      <c r="R8" s="20">
        <v>0</v>
      </c>
      <c r="S8" s="19">
        <v>7.6778999999999997E-3</v>
      </c>
      <c r="T8" s="19">
        <v>3.4641400000000003E-2</v>
      </c>
      <c r="U8" s="21">
        <v>0</v>
      </c>
      <c r="V8" s="21">
        <v>0</v>
      </c>
      <c r="W8" s="21">
        <v>0</v>
      </c>
      <c r="X8" s="21">
        <f>360*1000</f>
        <v>360000</v>
      </c>
      <c r="Y8" s="21">
        <v>0</v>
      </c>
      <c r="Z8" s="22">
        <v>20803</v>
      </c>
      <c r="AA8" s="22">
        <v>19002</v>
      </c>
      <c r="AB8" s="22">
        <v>17419</v>
      </c>
      <c r="AC8" s="22">
        <v>3593</v>
      </c>
      <c r="AD8" s="22">
        <v>3537</v>
      </c>
      <c r="AE8" s="23">
        <v>11780000</v>
      </c>
      <c r="AF8" s="23">
        <v>8911000</v>
      </c>
      <c r="AG8" s="23">
        <v>8113000</v>
      </c>
      <c r="AH8" s="23">
        <v>7569000</v>
      </c>
      <c r="AI8" s="23">
        <v>9251000</v>
      </c>
      <c r="AJ8" s="22">
        <v>1.2562818336162989</v>
      </c>
      <c r="AK8" s="22">
        <v>2.3214005162159128</v>
      </c>
      <c r="AL8" s="22">
        <v>1.715395044989523</v>
      </c>
      <c r="AM8" s="22">
        <v>1.4197384066587395</v>
      </c>
      <c r="AN8" s="22">
        <v>1.5083774727056534</v>
      </c>
      <c r="AO8" s="24">
        <f t="array" ref="AO8">('1100'!G8) / 100</f>
        <v>0.15279999999999999</v>
      </c>
      <c r="AP8" s="24">
        <f t="array" ref="AP8">('1100'!H8) / 100</f>
        <v>0.1303</v>
      </c>
      <c r="AQ8" s="24">
        <f t="array" ref="AQ8">('1100'!I8) / 100</f>
        <v>0.15939999999999999</v>
      </c>
      <c r="AR8" s="24">
        <f t="array" ref="AR8">('1100'!J8) / 100</f>
        <v>0.14050000000000001</v>
      </c>
      <c r="AS8" s="24">
        <f t="array" ref="AS8">('1100'!K8) / 100</f>
        <v>0.16350000000000001</v>
      </c>
      <c r="AT8" s="25">
        <f t="array" ref="AT8">('1100'!A8) / 100</f>
        <v>0.45</v>
      </c>
      <c r="AU8" s="25">
        <f t="array" ref="AU8">('1100'!B8) / 100</f>
        <v>0.435</v>
      </c>
      <c r="AV8" s="25">
        <f t="array" ref="AV8">('1100'!C8) / 100</f>
        <v>0.499</v>
      </c>
      <c r="AW8" s="25">
        <f t="array" ref="AW8">('1100'!D8) / 100</f>
        <v>0.47499999999999998</v>
      </c>
      <c r="AX8" s="25">
        <f t="array" ref="AX8">('1100'!E8) / 100</f>
        <v>0.42899999999999999</v>
      </c>
      <c r="AY8" s="23">
        <v>64582000</v>
      </c>
      <c r="AZ8" s="23">
        <v>52955000</v>
      </c>
      <c r="BA8" s="23">
        <v>41897000</v>
      </c>
      <c r="BB8" s="23">
        <v>42309000</v>
      </c>
      <c r="BC8" s="23">
        <v>47711000</v>
      </c>
      <c r="BD8" s="22">
        <v>25069000</v>
      </c>
      <c r="BE8" s="22">
        <v>26258000</v>
      </c>
      <c r="BF8" s="22">
        <v>22480000</v>
      </c>
      <c r="BG8" s="22">
        <v>19080000</v>
      </c>
      <c r="BH8" s="22">
        <v>21112000</v>
      </c>
      <c r="BI8" s="23">
        <v>82288000</v>
      </c>
      <c r="BJ8" s="23">
        <v>81249000</v>
      </c>
      <c r="BK8" s="23">
        <v>64361000</v>
      </c>
      <c r="BL8" s="23">
        <v>60860000</v>
      </c>
      <c r="BM8" s="23">
        <v>64396000</v>
      </c>
      <c r="BN8" s="22">
        <v>37033000</v>
      </c>
      <c r="BO8" s="22">
        <v>35382000</v>
      </c>
      <c r="BP8" s="22">
        <v>32096000</v>
      </c>
      <c r="BQ8" s="22">
        <v>28908000</v>
      </c>
      <c r="BR8" s="22">
        <v>27600000</v>
      </c>
    </row>
    <row r="9" spans="1:70" ht="14" x14ac:dyDescent="0.2">
      <c r="A9" s="13" t="s">
        <v>83</v>
      </c>
      <c r="B9" s="14">
        <v>5567141857</v>
      </c>
      <c r="C9" s="14" t="s">
        <v>84</v>
      </c>
      <c r="D9" s="14" t="s">
        <v>67</v>
      </c>
      <c r="E9" s="15" t="s">
        <v>68</v>
      </c>
      <c r="F9" s="16">
        <v>9.4E-2</v>
      </c>
      <c r="G9" s="16">
        <v>9.2999999999999999E-2</v>
      </c>
      <c r="H9" s="17">
        <f>0.068</f>
        <v>6.8000000000000005E-2</v>
      </c>
      <c r="I9" s="16">
        <f>0.091</f>
        <v>9.0999999999999998E-2</v>
      </c>
      <c r="J9" s="16">
        <f>0.086</f>
        <v>8.5999999999999993E-2</v>
      </c>
      <c r="K9" s="18">
        <v>8.5000000000000006E-2</v>
      </c>
      <c r="L9" s="18">
        <v>8.4000000000000005E-2</v>
      </c>
      <c r="M9" s="18">
        <v>2.1999999999999999E-2</v>
      </c>
      <c r="N9" s="18">
        <v>5.0000000000000001E-3</v>
      </c>
      <c r="O9" s="18">
        <v>1.7999999999999999E-2</v>
      </c>
      <c r="P9" s="19">
        <v>-2.5500000000000002E-3</v>
      </c>
      <c r="Q9" s="19">
        <v>-2.9762000000000001E-4</v>
      </c>
      <c r="R9" s="20">
        <v>0</v>
      </c>
      <c r="S9" s="19">
        <v>7.6778999999999997E-3</v>
      </c>
      <c r="T9" s="19">
        <v>3.4641400000000003E-2</v>
      </c>
      <c r="U9" s="21">
        <v>0</v>
      </c>
      <c r="V9" s="21">
        <v>0</v>
      </c>
      <c r="W9" s="21">
        <v>0</v>
      </c>
      <c r="X9" s="21">
        <v>0</v>
      </c>
      <c r="Y9" s="21">
        <v>0</v>
      </c>
      <c r="Z9" s="22">
        <v>2956</v>
      </c>
      <c r="AA9" s="22">
        <v>2134</v>
      </c>
      <c r="AB9" s="22">
        <v>2057</v>
      </c>
      <c r="AC9" s="22">
        <v>2049</v>
      </c>
      <c r="AD9" s="22">
        <v>2286</v>
      </c>
      <c r="AE9" s="23">
        <v>1374000</v>
      </c>
      <c r="AF9" s="23">
        <v>759000</v>
      </c>
      <c r="AG9" s="23">
        <v>614300</v>
      </c>
      <c r="AH9" s="23">
        <v>456400</v>
      </c>
      <c r="AI9" s="23">
        <v>762200</v>
      </c>
      <c r="AJ9" s="22">
        <v>3.4112081513828238</v>
      </c>
      <c r="AK9" s="22">
        <v>8.2239789196310937</v>
      </c>
      <c r="AL9" s="22">
        <v>1.3753866189158392</v>
      </c>
      <c r="AM9" s="22">
        <v>2.6463628396143735</v>
      </c>
      <c r="AN9" s="22">
        <v>1.8921542902125426</v>
      </c>
      <c r="AO9" s="24">
        <f t="array" ref="AO9">('1100'!G9) / 100</f>
        <v>0.20629999999999998</v>
      </c>
      <c r="AP9" s="24">
        <f t="array" ref="AP9">('1100'!H9) / 100</f>
        <v>0.14940000000000001</v>
      </c>
      <c r="AQ9" s="24">
        <f t="array" ref="AQ9">('1100'!I9) / 100</f>
        <v>0.1293</v>
      </c>
      <c r="AR9" s="24">
        <f t="array" ref="AR9">('1100'!J9) / 100</f>
        <v>7.6100000000000001E-2</v>
      </c>
      <c r="AS9" s="24">
        <f t="array" ref="AS9">('1100'!K9) / 100</f>
        <v>0.1356</v>
      </c>
      <c r="AT9" s="25">
        <f t="array" ref="AT9">('1100'!A9) / 100</f>
        <v>0.50800000000000001</v>
      </c>
      <c r="AU9" s="25">
        <f t="array" ref="AU9">('1100'!B9) / 100</f>
        <v>0.30599999999999999</v>
      </c>
      <c r="AV9" s="25">
        <f t="array" ref="AV9">('1100'!C9) / 100</f>
        <v>0.65099999999999991</v>
      </c>
      <c r="AW9" s="25">
        <f t="array" ref="AW9">('1100'!D9) / 100</f>
        <v>0.628</v>
      </c>
      <c r="AX9" s="25">
        <f t="array" ref="AX9">('1100'!E9) / 100</f>
        <v>0.57399999999999995</v>
      </c>
      <c r="AY9" s="23">
        <v>7166000</v>
      </c>
      <c r="AZ9" s="23">
        <v>4512000</v>
      </c>
      <c r="BA9" s="23">
        <v>3744300</v>
      </c>
      <c r="BB9" s="23">
        <v>3744400</v>
      </c>
      <c r="BC9" s="23">
        <v>4587400</v>
      </c>
      <c r="BD9" s="22">
        <v>5882000</v>
      </c>
      <c r="BE9" s="22">
        <v>5950000</v>
      </c>
      <c r="BF9" s="22">
        <v>2362000</v>
      </c>
      <c r="BG9" s="22">
        <v>2260400</v>
      </c>
      <c r="BH9" s="22">
        <v>2366700</v>
      </c>
      <c r="BI9" s="23">
        <v>13683000</v>
      </c>
      <c r="BJ9" s="23">
        <v>14327000</v>
      </c>
      <c r="BK9" s="23">
        <v>5901700</v>
      </c>
      <c r="BL9" s="23">
        <v>5619400</v>
      </c>
      <c r="BM9" s="23">
        <v>6416900</v>
      </c>
      <c r="BN9" s="22">
        <v>6955000</v>
      </c>
      <c r="BO9" s="22">
        <v>4377000</v>
      </c>
      <c r="BP9" s="22">
        <v>3840400</v>
      </c>
      <c r="BQ9" s="22">
        <v>3527900</v>
      </c>
      <c r="BR9" s="22">
        <v>3684200</v>
      </c>
    </row>
    <row r="10" spans="1:70" ht="14" x14ac:dyDescent="0.2">
      <c r="A10" s="13" t="s">
        <v>85</v>
      </c>
      <c r="B10" s="14">
        <v>5590721352</v>
      </c>
      <c r="C10" s="14" t="s">
        <v>86</v>
      </c>
      <c r="D10" s="14" t="s">
        <v>67</v>
      </c>
      <c r="E10" s="15" t="s">
        <v>68</v>
      </c>
      <c r="F10" s="16">
        <v>0.08</v>
      </c>
      <c r="G10" s="16">
        <v>0.08</v>
      </c>
      <c r="H10" s="17">
        <v>0.11</v>
      </c>
      <c r="I10" s="16">
        <v>0.11</v>
      </c>
      <c r="J10" s="16">
        <v>0.114</v>
      </c>
      <c r="K10" s="18">
        <v>8.5000000000000006E-2</v>
      </c>
      <c r="L10" s="18">
        <v>8.4000000000000005E-2</v>
      </c>
      <c r="M10" s="18">
        <v>2.1999999999999999E-2</v>
      </c>
      <c r="N10" s="18">
        <v>5.0000000000000001E-3</v>
      </c>
      <c r="O10" s="18">
        <v>1.7999999999999999E-2</v>
      </c>
      <c r="P10" s="19">
        <v>-2.5500000000000002E-3</v>
      </c>
      <c r="Q10" s="19">
        <v>-2.9762000000000001E-4</v>
      </c>
      <c r="R10" s="20">
        <v>0</v>
      </c>
      <c r="S10" s="19">
        <v>7.6778999999999997E-3</v>
      </c>
      <c r="T10" s="19">
        <v>3.4641400000000003E-2</v>
      </c>
      <c r="U10" s="21">
        <v>0</v>
      </c>
      <c r="V10" s="21">
        <v>0</v>
      </c>
      <c r="W10" s="21">
        <v>0</v>
      </c>
      <c r="X10" s="21">
        <v>0</v>
      </c>
      <c r="Y10" s="21">
        <v>0</v>
      </c>
      <c r="Z10" s="22">
        <v>2444</v>
      </c>
      <c r="AA10" s="22">
        <v>2335</v>
      </c>
      <c r="AB10" s="22">
        <v>2323</v>
      </c>
      <c r="AC10" s="22">
        <v>2564</v>
      </c>
      <c r="AD10" s="22">
        <v>1700</v>
      </c>
      <c r="AE10" s="23">
        <v>1281000</v>
      </c>
      <c r="AF10" s="23">
        <v>1155000</v>
      </c>
      <c r="AG10" s="23">
        <v>990000</v>
      </c>
      <c r="AH10" s="23">
        <v>792000</v>
      </c>
      <c r="AI10" s="23">
        <v>0</v>
      </c>
      <c r="AJ10" s="22">
        <v>2.3950039032006245</v>
      </c>
      <c r="AK10" s="22">
        <v>2.4086580086580085</v>
      </c>
      <c r="AL10" s="22">
        <v>2.4717171717171715</v>
      </c>
      <c r="AM10" s="22">
        <v>3.279040404040404</v>
      </c>
      <c r="AN10" s="22" t="s">
        <v>87</v>
      </c>
      <c r="AO10" s="24">
        <f t="array" ref="AO10">('1100'!G10) / 100</f>
        <v>8.1500000000000003E-2</v>
      </c>
      <c r="AP10" s="24">
        <f t="array" ref="AP10">('1100'!H10) / 100</f>
        <v>7.3099999999999998E-2</v>
      </c>
      <c r="AQ10" s="24">
        <f t="array" ref="AQ10">('1100'!I10) / 100</f>
        <v>5.0700000000000002E-2</v>
      </c>
      <c r="AR10" s="24">
        <f t="array" ref="AR10">('1100'!J10) / 100</f>
        <v>4.9100000000000005E-2</v>
      </c>
      <c r="AS10" s="24">
        <f t="array" ref="AS10">('1100'!K10) / 100</f>
        <v>0</v>
      </c>
      <c r="AT10" s="25">
        <f t="array" ref="AT10">('1100'!A10) / 100</f>
        <v>0.41100000000000003</v>
      </c>
      <c r="AU10" s="25">
        <f t="array" ref="AU10">('1100'!B10) / 100</f>
        <v>0.40700000000000003</v>
      </c>
      <c r="AV10" s="25">
        <f t="array" ref="AV10">('1100'!C10) / 100</f>
        <v>0.39500000000000002</v>
      </c>
      <c r="AW10" s="25">
        <f t="array" ref="AW10">('1100'!D10) / 100</f>
        <v>0.38900000000000001</v>
      </c>
      <c r="AX10" s="25">
        <f t="array" ref="AX10">('1100'!E10) / 100</f>
        <v>0</v>
      </c>
      <c r="AY10" s="23">
        <v>9462000</v>
      </c>
      <c r="AZ10" s="23">
        <v>9333000</v>
      </c>
      <c r="BA10" s="23">
        <v>8508000</v>
      </c>
      <c r="BB10" s="23">
        <v>6861000</v>
      </c>
      <c r="BC10" s="23">
        <v>6139000</v>
      </c>
      <c r="BD10" s="22">
        <v>1640000</v>
      </c>
      <c r="BE10" s="22">
        <v>1561000</v>
      </c>
      <c r="BF10" s="22">
        <v>1461000</v>
      </c>
      <c r="BG10" s="22">
        <v>1603000</v>
      </c>
      <c r="BH10" s="22">
        <v>553000</v>
      </c>
      <c r="BI10" s="23">
        <v>8787000</v>
      </c>
      <c r="BJ10" s="23">
        <v>8364000</v>
      </c>
      <c r="BK10" s="23">
        <v>8679000</v>
      </c>
      <c r="BL10" s="23">
        <v>7812000</v>
      </c>
      <c r="BM10" s="23">
        <v>5940000</v>
      </c>
      <c r="BN10" s="22">
        <v>3613000</v>
      </c>
      <c r="BO10" s="22">
        <v>3408000</v>
      </c>
      <c r="BP10" s="22">
        <v>3429000</v>
      </c>
      <c r="BQ10" s="22">
        <v>3037000</v>
      </c>
      <c r="BR10" s="22">
        <v>2869000</v>
      </c>
    </row>
    <row r="11" spans="1:70" ht="14" x14ac:dyDescent="0.2">
      <c r="A11" s="13" t="s">
        <v>88</v>
      </c>
      <c r="B11" s="14">
        <v>5564684354</v>
      </c>
      <c r="C11" s="14" t="s">
        <v>89</v>
      </c>
      <c r="D11" s="14" t="s">
        <v>67</v>
      </c>
      <c r="E11" s="15" t="s">
        <v>90</v>
      </c>
      <c r="F11" s="16">
        <f>0.135</f>
        <v>0.13500000000000001</v>
      </c>
      <c r="G11" s="16">
        <v>0.109</v>
      </c>
      <c r="H11" s="17">
        <f>0.105</f>
        <v>0.105</v>
      </c>
      <c r="I11" s="16">
        <f>0.109</f>
        <v>0.109</v>
      </c>
      <c r="J11" s="16">
        <f>0.091</f>
        <v>9.0999999999999998E-2</v>
      </c>
      <c r="K11" s="18">
        <v>8.5000000000000006E-2</v>
      </c>
      <c r="L11" s="18">
        <v>8.4000000000000005E-2</v>
      </c>
      <c r="M11" s="18">
        <v>2.1999999999999999E-2</v>
      </c>
      <c r="N11" s="18">
        <v>5.0000000000000001E-3</v>
      </c>
      <c r="O11" s="18">
        <v>1.7999999999999999E-2</v>
      </c>
      <c r="P11" s="19">
        <v>-2.5500000000000002E-3</v>
      </c>
      <c r="Q11" s="19">
        <v>-2.9762000000000001E-4</v>
      </c>
      <c r="R11" s="20">
        <v>0</v>
      </c>
      <c r="S11" s="19">
        <v>7.6778999999999997E-3</v>
      </c>
      <c r="T11" s="19">
        <v>3.4641400000000003E-2</v>
      </c>
      <c r="U11" s="21">
        <v>0</v>
      </c>
      <c r="V11" s="21">
        <v>0</v>
      </c>
      <c r="W11" s="21">
        <v>0</v>
      </c>
      <c r="X11" s="21">
        <v>0</v>
      </c>
      <c r="Y11" s="21">
        <v>0</v>
      </c>
      <c r="Z11" s="22">
        <v>14663</v>
      </c>
      <c r="AA11" s="22">
        <v>14437</v>
      </c>
      <c r="AB11" s="22">
        <v>14292</v>
      </c>
      <c r="AC11" s="22">
        <v>13794</v>
      </c>
      <c r="AD11" s="22">
        <v>13214</v>
      </c>
      <c r="AE11" s="23">
        <v>2278000</v>
      </c>
      <c r="AF11" s="23">
        <v>2044000</v>
      </c>
      <c r="AG11" s="23">
        <v>1650000</v>
      </c>
      <c r="AH11" s="23">
        <v>1613000</v>
      </c>
      <c r="AI11" s="23">
        <v>1370000</v>
      </c>
      <c r="AJ11" s="22">
        <v>4.0452151009657591</v>
      </c>
      <c r="AK11" s="22">
        <v>4.8542074363992169</v>
      </c>
      <c r="AL11" s="22">
        <v>4.7375757575757573</v>
      </c>
      <c r="AM11" s="22">
        <v>3.7985120892746433</v>
      </c>
      <c r="AN11" s="22">
        <v>3.8708029197080291</v>
      </c>
      <c r="AO11" s="24">
        <f t="array" ref="AO11">('1100'!G11) / 100</f>
        <v>7.3899999999999993E-2</v>
      </c>
      <c r="AP11" s="24">
        <f t="array" ref="AP11">('1100'!H11) / 100</f>
        <v>6.6699999999999995E-2</v>
      </c>
      <c r="AQ11" s="24">
        <f t="array" ref="AQ11">('1100'!I11) / 100</f>
        <v>5.2199999999999996E-2</v>
      </c>
      <c r="AR11" s="24">
        <f t="array" ref="AR11">('1100'!J11) / 100</f>
        <v>6.480000000000001E-2</v>
      </c>
      <c r="AS11" s="24">
        <f t="array" ref="AS11">('1100'!K11) / 100</f>
        <v>4.8600000000000004E-2</v>
      </c>
      <c r="AT11" s="25">
        <f t="array" ref="AT11">('1100'!A11) / 100</f>
        <v>0.27500000000000002</v>
      </c>
      <c r="AU11" s="25">
        <f t="array" ref="AU11">('1100'!B11) / 100</f>
        <v>0.26200000000000001</v>
      </c>
      <c r="AV11" s="25">
        <f t="array" ref="AV11">('1100'!C11) / 100</f>
        <v>0.27200000000000002</v>
      </c>
      <c r="AW11" s="25">
        <f t="array" ref="AW11">('1100'!D11) / 100</f>
        <v>0.29399999999999998</v>
      </c>
      <c r="AX11" s="25">
        <f t="array" ref="AX11">('1100'!E11) / 100</f>
        <v>0.29199999999999998</v>
      </c>
      <c r="AY11" s="23">
        <v>13583000</v>
      </c>
      <c r="AZ11" s="23">
        <v>12959000</v>
      </c>
      <c r="BA11" s="23">
        <v>11673000</v>
      </c>
      <c r="BB11" s="23">
        <v>11205000</v>
      </c>
      <c r="BC11" s="23">
        <v>11139000</v>
      </c>
      <c r="BD11" s="22">
        <v>7006000</v>
      </c>
      <c r="BE11" s="22">
        <v>7095000</v>
      </c>
      <c r="BF11" s="22">
        <v>7285000</v>
      </c>
      <c r="BG11" s="22">
        <v>6508000</v>
      </c>
      <c r="BH11" s="22">
        <v>6532000</v>
      </c>
      <c r="BI11" s="23">
        <v>17893000</v>
      </c>
      <c r="BJ11" s="23">
        <v>17875000</v>
      </c>
      <c r="BK11" s="23">
        <v>16674000</v>
      </c>
      <c r="BL11" s="23">
        <v>14718000</v>
      </c>
      <c r="BM11" s="23">
        <v>13810000</v>
      </c>
      <c r="BN11" s="22">
        <v>4920000</v>
      </c>
      <c r="BO11" s="22">
        <v>4681000</v>
      </c>
      <c r="BP11" s="22">
        <v>4530000</v>
      </c>
      <c r="BQ11" s="22">
        <v>4325000</v>
      </c>
      <c r="BR11" s="22">
        <v>4036000</v>
      </c>
    </row>
    <row r="12" spans="1:70" ht="14" x14ac:dyDescent="0.2">
      <c r="A12" s="13" t="s">
        <v>91</v>
      </c>
      <c r="B12" s="14">
        <v>5562818830</v>
      </c>
      <c r="C12" s="14" t="s">
        <v>92</v>
      </c>
      <c r="D12" s="14" t="s">
        <v>67</v>
      </c>
      <c r="E12" s="15" t="s">
        <v>68</v>
      </c>
      <c r="F12" s="16">
        <v>0.1</v>
      </c>
      <c r="G12" s="16">
        <v>0.1</v>
      </c>
      <c r="H12" s="17">
        <v>8.8599999999999998E-2</v>
      </c>
      <c r="I12" s="16">
        <v>8.8300000000000003E-2</v>
      </c>
      <c r="J12" s="16">
        <v>8.3299999999999999E-2</v>
      </c>
      <c r="K12" s="18">
        <v>8.5000000000000006E-2</v>
      </c>
      <c r="L12" s="18">
        <v>8.4000000000000005E-2</v>
      </c>
      <c r="M12" s="18">
        <v>2.1999999999999999E-2</v>
      </c>
      <c r="N12" s="18">
        <v>5.0000000000000001E-3</v>
      </c>
      <c r="O12" s="18">
        <v>1.7999999999999999E-2</v>
      </c>
      <c r="P12" s="19">
        <v>-2.5500000000000002E-3</v>
      </c>
      <c r="Q12" s="19">
        <v>-2.9762000000000001E-4</v>
      </c>
      <c r="R12" s="20">
        <v>0</v>
      </c>
      <c r="S12" s="19">
        <v>7.6778999999999997E-3</v>
      </c>
      <c r="T12" s="19">
        <v>3.4641400000000003E-2</v>
      </c>
      <c r="U12" s="21">
        <v>0</v>
      </c>
      <c r="V12" s="21">
        <v>0</v>
      </c>
      <c r="W12" s="21">
        <v>0</v>
      </c>
      <c r="X12" s="21">
        <v>0</v>
      </c>
      <c r="Y12" s="21">
        <v>0</v>
      </c>
      <c r="Z12" s="22">
        <v>7846</v>
      </c>
      <c r="AA12" s="22">
        <v>7222</v>
      </c>
      <c r="AB12" s="22">
        <v>6477</v>
      </c>
      <c r="AC12" s="22">
        <v>5891</v>
      </c>
      <c r="AD12" s="22">
        <v>6330</v>
      </c>
      <c r="AE12" s="23">
        <v>1080000</v>
      </c>
      <c r="AF12" s="23">
        <v>752000</v>
      </c>
      <c r="AG12" s="23">
        <v>680000</v>
      </c>
      <c r="AH12" s="23">
        <v>635234</v>
      </c>
      <c r="AI12" s="23">
        <v>560686</v>
      </c>
      <c r="AJ12" s="22">
        <v>0.67037037037037039</v>
      </c>
      <c r="AK12" s="22">
        <v>1.2646276595744681</v>
      </c>
      <c r="AL12" s="22">
        <v>1.3852941176470588</v>
      </c>
      <c r="AM12" s="22">
        <v>1.4139435231741373</v>
      </c>
      <c r="AN12" s="22">
        <v>1.8633762926129778</v>
      </c>
      <c r="AO12" s="24">
        <f t="array" ref="AO12">('1100'!G12) / 100</f>
        <v>0.09</v>
      </c>
      <c r="AP12" s="24">
        <f t="array" ref="AP12">('1100'!H12) / 100</f>
        <v>7.51E-2</v>
      </c>
      <c r="AQ12" s="24">
        <f t="array" ref="AQ12">('1100'!I12) / 100</f>
        <v>8.5699999999999998E-2</v>
      </c>
      <c r="AR12" s="24">
        <f t="array" ref="AR12">('1100'!J12) / 100</f>
        <v>8.6599999999999996E-2</v>
      </c>
      <c r="AS12" s="24">
        <f t="array" ref="AS12">('1100'!K12) / 100</f>
        <v>6.8699999999999997E-2</v>
      </c>
      <c r="AT12" s="25">
        <f t="array" ref="AT12">('1100'!A12) / 100</f>
        <v>0.628</v>
      </c>
      <c r="AU12" s="25">
        <f t="array" ref="AU12">('1100'!B12) / 100</f>
        <v>0.55500000000000005</v>
      </c>
      <c r="AV12" s="25">
        <f t="array" ref="AV12">('1100'!C12) / 100</f>
        <v>0.55700000000000005</v>
      </c>
      <c r="AW12" s="25">
        <f t="array" ref="AW12">('1100'!D12) / 100</f>
        <v>0.56399999999999995</v>
      </c>
      <c r="AX12" s="25">
        <f t="array" ref="AX12">('1100'!E12) / 100</f>
        <v>0.52100000000000002</v>
      </c>
      <c r="AY12" s="23">
        <v>9072000</v>
      </c>
      <c r="AZ12" s="23">
        <v>7315000</v>
      </c>
      <c r="BA12" s="23">
        <v>5798000</v>
      </c>
      <c r="BB12" s="23">
        <v>4953995</v>
      </c>
      <c r="BC12" s="23">
        <v>5188672</v>
      </c>
      <c r="BD12" s="22">
        <v>393000</v>
      </c>
      <c r="BE12" s="22">
        <v>395000</v>
      </c>
      <c r="BF12" s="22">
        <v>366000</v>
      </c>
      <c r="BG12" s="22">
        <v>330244</v>
      </c>
      <c r="BH12" s="22">
        <v>353246</v>
      </c>
      <c r="BI12" s="23">
        <v>5960000</v>
      </c>
      <c r="BJ12" s="23">
        <v>5704000</v>
      </c>
      <c r="BK12" s="23">
        <v>4699000</v>
      </c>
      <c r="BL12" s="23">
        <v>3864463</v>
      </c>
      <c r="BM12" s="23">
        <v>3852305</v>
      </c>
      <c r="BN12" s="22">
        <v>3743000</v>
      </c>
      <c r="BO12" s="22">
        <v>3164000</v>
      </c>
      <c r="BP12" s="22">
        <v>2616000</v>
      </c>
      <c r="BQ12" s="22">
        <v>2181135</v>
      </c>
      <c r="BR12" s="22">
        <v>2007735</v>
      </c>
    </row>
    <row r="13" spans="1:70" ht="14" x14ac:dyDescent="0.2">
      <c r="A13" s="13" t="s">
        <v>93</v>
      </c>
      <c r="B13" s="14">
        <v>5560593575</v>
      </c>
      <c r="C13" s="14" t="s">
        <v>94</v>
      </c>
      <c r="D13" s="14" t="s">
        <v>67</v>
      </c>
      <c r="E13" s="15" t="s">
        <v>68</v>
      </c>
      <c r="F13" s="16">
        <f>0.085</f>
        <v>8.5000000000000006E-2</v>
      </c>
      <c r="G13" s="16">
        <v>0.08</v>
      </c>
      <c r="H13" s="17">
        <v>0.08</v>
      </c>
      <c r="I13" s="16">
        <v>0.08</v>
      </c>
      <c r="J13" s="16">
        <v>0.08</v>
      </c>
      <c r="K13" s="18">
        <v>8.5000000000000006E-2</v>
      </c>
      <c r="L13" s="18">
        <v>8.4000000000000005E-2</v>
      </c>
      <c r="M13" s="18">
        <v>2.1999999999999999E-2</v>
      </c>
      <c r="N13" s="18">
        <v>5.0000000000000001E-3</v>
      </c>
      <c r="O13" s="18">
        <v>1.7999999999999999E-2</v>
      </c>
      <c r="P13" s="19">
        <v>-2.5500000000000002E-3</v>
      </c>
      <c r="Q13" s="19">
        <v>-2.9762000000000001E-4</v>
      </c>
      <c r="R13" s="20">
        <v>0</v>
      </c>
      <c r="S13" s="19">
        <v>7.6778999999999997E-3</v>
      </c>
      <c r="T13" s="19">
        <v>3.4641400000000003E-2</v>
      </c>
      <c r="U13" s="21">
        <v>0</v>
      </c>
      <c r="V13" s="21">
        <v>0</v>
      </c>
      <c r="W13" s="21">
        <v>0</v>
      </c>
      <c r="X13" s="21">
        <v>0</v>
      </c>
      <c r="Y13" s="21">
        <v>0</v>
      </c>
      <c r="Z13" s="22">
        <v>56845</v>
      </c>
      <c r="AA13" s="22">
        <v>52462</v>
      </c>
      <c r="AB13" s="22">
        <v>50935</v>
      </c>
      <c r="AC13" s="22">
        <v>48471</v>
      </c>
      <c r="AD13" s="22">
        <v>48992</v>
      </c>
      <c r="AE13" s="23">
        <v>25873000</v>
      </c>
      <c r="AF13" s="23">
        <v>18532000</v>
      </c>
      <c r="AG13" s="23">
        <v>18022000</v>
      </c>
      <c r="AH13" s="23">
        <v>16234000</v>
      </c>
      <c r="AI13" s="23">
        <v>16794000</v>
      </c>
      <c r="AJ13" s="22">
        <v>2.1185792138522785</v>
      </c>
      <c r="AK13" s="22">
        <v>1.561407295488884</v>
      </c>
      <c r="AL13" s="22">
        <v>1.4633226057041393</v>
      </c>
      <c r="AM13" s="22">
        <v>1.758839472711593</v>
      </c>
      <c r="AN13" s="22">
        <v>1.8534595688936526</v>
      </c>
      <c r="AO13" s="24">
        <f t="array" ref="AO13">('1100'!G13) / 100</f>
        <v>0.15609999999999999</v>
      </c>
      <c r="AP13" s="24">
        <f t="array" ref="AP13">('1100'!H13) / 100</f>
        <v>0.15410000000000001</v>
      </c>
      <c r="AQ13" s="24">
        <f t="array" ref="AQ13">('1100'!I13) / 100</f>
        <v>0.1502</v>
      </c>
      <c r="AR13" s="24">
        <f t="array" ref="AR13">('1100'!J13) / 100</f>
        <v>0.14230000000000001</v>
      </c>
      <c r="AS13" s="24">
        <f t="array" ref="AS13">('1100'!K13) / 100</f>
        <v>0.15590000000000001</v>
      </c>
      <c r="AT13" s="25">
        <f t="array" ref="AT13">('1100'!A13) / 100</f>
        <v>0.46700000000000003</v>
      </c>
      <c r="AU13" s="25">
        <f t="array" ref="AU13">('1100'!B13) / 100</f>
        <v>0.55600000000000005</v>
      </c>
      <c r="AV13" s="25">
        <f t="array" ref="AV13">('1100'!C13) / 100</f>
        <v>0.53500000000000003</v>
      </c>
      <c r="AW13" s="25">
        <f t="array" ref="AW13">('1100'!D13) / 100</f>
        <v>0.501</v>
      </c>
      <c r="AX13" s="25">
        <f t="array" ref="AX13">('1100'!E13) / 100</f>
        <v>0.501</v>
      </c>
      <c r="AY13" s="23">
        <v>144321000</v>
      </c>
      <c r="AZ13" s="23">
        <v>120819000</v>
      </c>
      <c r="BA13" s="23">
        <v>95026000</v>
      </c>
      <c r="BB13" s="23">
        <v>89321000</v>
      </c>
      <c r="BC13" s="23">
        <v>94227000</v>
      </c>
      <c r="BD13" s="22">
        <v>92873000</v>
      </c>
      <c r="BE13" s="22">
        <v>75873000</v>
      </c>
      <c r="BF13" s="22">
        <v>62502000</v>
      </c>
      <c r="BG13" s="22">
        <v>58344000</v>
      </c>
      <c r="BH13" s="22">
        <v>57662000</v>
      </c>
      <c r="BI13" s="23">
        <v>196351000</v>
      </c>
      <c r="BJ13" s="23">
        <v>154564000</v>
      </c>
      <c r="BK13" s="23">
        <v>129975000</v>
      </c>
      <c r="BL13" s="23">
        <v>117428000</v>
      </c>
      <c r="BM13" s="23">
        <v>118050000</v>
      </c>
      <c r="BN13" s="22">
        <v>91629000</v>
      </c>
      <c r="BO13" s="22">
        <v>86014000</v>
      </c>
      <c r="BP13" s="22">
        <v>69582000</v>
      </c>
      <c r="BQ13" s="22">
        <v>58870000</v>
      </c>
      <c r="BR13" s="22">
        <v>59143000</v>
      </c>
    </row>
    <row r="14" spans="1:70" ht="14" x14ac:dyDescent="0.2">
      <c r="A14" s="13" t="s">
        <v>95</v>
      </c>
      <c r="B14" s="14">
        <v>5560142720</v>
      </c>
      <c r="C14" s="14" t="s">
        <v>96</v>
      </c>
      <c r="D14" s="14" t="s">
        <v>67</v>
      </c>
      <c r="E14" s="15" t="s">
        <v>68</v>
      </c>
      <c r="F14" s="16">
        <v>0.08</v>
      </c>
      <c r="G14" s="16">
        <v>0.08</v>
      </c>
      <c r="H14" s="17">
        <v>0.08</v>
      </c>
      <c r="I14" s="16">
        <v>0.08</v>
      </c>
      <c r="J14" s="16">
        <v>0.08</v>
      </c>
      <c r="K14" s="18">
        <v>8.5000000000000006E-2</v>
      </c>
      <c r="L14" s="18">
        <v>8.4000000000000005E-2</v>
      </c>
      <c r="M14" s="18">
        <v>2.1999999999999999E-2</v>
      </c>
      <c r="N14" s="18">
        <v>5.0000000000000001E-3</v>
      </c>
      <c r="O14" s="18">
        <v>1.7999999999999999E-2</v>
      </c>
      <c r="P14" s="19">
        <v>-2.5500000000000002E-3</v>
      </c>
      <c r="Q14" s="19">
        <v>-2.9762000000000001E-4</v>
      </c>
      <c r="R14" s="20">
        <v>0</v>
      </c>
      <c r="S14" s="19">
        <v>7.6778999999999997E-3</v>
      </c>
      <c r="T14" s="19">
        <v>3.4641400000000003E-2</v>
      </c>
      <c r="U14" s="21">
        <v>0</v>
      </c>
      <c r="V14" s="21">
        <v>0</v>
      </c>
      <c r="W14" s="21">
        <v>0</v>
      </c>
      <c r="X14" s="21">
        <v>0</v>
      </c>
      <c r="Y14" s="21">
        <v>0</v>
      </c>
      <c r="Z14" s="22">
        <v>51110</v>
      </c>
      <c r="AA14" s="22">
        <v>45781</v>
      </c>
      <c r="AB14" s="22">
        <v>41272</v>
      </c>
      <c r="AC14" s="22">
        <v>39606</v>
      </c>
      <c r="AD14" s="22">
        <v>37805</v>
      </c>
      <c r="AE14" s="23">
        <v>44782000</v>
      </c>
      <c r="AF14" s="23">
        <v>36500000</v>
      </c>
      <c r="AG14" s="23">
        <v>28894000</v>
      </c>
      <c r="AH14" s="23">
        <v>21122000</v>
      </c>
      <c r="AI14" s="23">
        <v>25531000</v>
      </c>
      <c r="AJ14" s="22">
        <v>0.78781653342860969</v>
      </c>
      <c r="AK14" s="22">
        <v>0.80383561643835622</v>
      </c>
      <c r="AL14" s="22">
        <v>0.84221637710251263</v>
      </c>
      <c r="AM14" s="22">
        <v>1.3429599469747182</v>
      </c>
      <c r="AN14" s="22">
        <v>0.97336571227135638</v>
      </c>
      <c r="AO14" s="24">
        <f t="array" ref="AO14">('1100'!G14) / 100</f>
        <v>0.21739999999999998</v>
      </c>
      <c r="AP14" s="24">
        <f t="array" ref="AP14">('1100'!H14) / 100</f>
        <v>0.2162</v>
      </c>
      <c r="AQ14" s="24">
        <f t="array" ref="AQ14">('1100'!I14) / 100</f>
        <v>0.21460000000000001</v>
      </c>
      <c r="AR14" s="24">
        <f t="array" ref="AR14">('1100'!J14) / 100</f>
        <v>0.19350000000000001</v>
      </c>
      <c r="AS14" s="24">
        <f t="array" ref="AS14">('1100'!K14) / 100</f>
        <v>0.21260000000000001</v>
      </c>
      <c r="AT14" s="25">
        <f t="array" ref="AT14">('1100'!A14) / 100</f>
        <v>0.501</v>
      </c>
      <c r="AU14" s="25">
        <f t="array" ref="AU14">('1100'!B14) / 100</f>
        <v>0.46399999999999997</v>
      </c>
      <c r="AV14" s="25">
        <f t="array" ref="AV14">('1100'!C14) / 100</f>
        <v>0.495</v>
      </c>
      <c r="AW14" s="25">
        <f t="array" ref="AW14">('1100'!D14) / 100</f>
        <v>0.46899999999999997</v>
      </c>
      <c r="AX14" s="25">
        <f t="array" ref="AX14">('1100'!E14) / 100</f>
        <v>0.47600000000000003</v>
      </c>
      <c r="AY14" s="23">
        <v>173249000</v>
      </c>
      <c r="AZ14" s="23">
        <v>141890000</v>
      </c>
      <c r="BA14" s="23">
        <v>111729000</v>
      </c>
      <c r="BB14" s="23">
        <v>100090000</v>
      </c>
      <c r="BC14" s="23">
        <v>104069000</v>
      </c>
      <c r="BD14" s="22">
        <v>45361000</v>
      </c>
      <c r="BE14" s="22">
        <v>44299000</v>
      </c>
      <c r="BF14" s="22">
        <v>32113000</v>
      </c>
      <c r="BG14" s="22">
        <v>28873000</v>
      </c>
      <c r="BH14" s="22">
        <v>22757000</v>
      </c>
      <c r="BI14" s="23">
        <v>182684000</v>
      </c>
      <c r="BJ14" s="23">
        <v>172301000</v>
      </c>
      <c r="BK14" s="23">
        <v>136683000</v>
      </c>
      <c r="BL14" s="23">
        <v>113366000</v>
      </c>
      <c r="BM14" s="23">
        <v>111722000</v>
      </c>
      <c r="BN14" s="22">
        <v>91450000</v>
      </c>
      <c r="BO14" s="22">
        <v>79976000</v>
      </c>
      <c r="BP14" s="22">
        <v>67633000</v>
      </c>
      <c r="BQ14" s="22">
        <v>53215000</v>
      </c>
      <c r="BR14" s="22">
        <v>53231000</v>
      </c>
    </row>
    <row r="15" spans="1:70" ht="15" x14ac:dyDescent="0.2">
      <c r="A15" s="26" t="s">
        <v>97</v>
      </c>
      <c r="B15" s="14">
        <v>5590267885</v>
      </c>
      <c r="C15" s="14" t="s">
        <v>98</v>
      </c>
      <c r="D15" s="14" t="s">
        <v>67</v>
      </c>
      <c r="E15" s="15" t="s">
        <v>68</v>
      </c>
      <c r="F15" s="16">
        <v>9.6000000000000002E-2</v>
      </c>
      <c r="G15" s="16">
        <v>0.10349999999999999</v>
      </c>
      <c r="H15" s="17">
        <v>0.10349999999999999</v>
      </c>
      <c r="I15" s="16">
        <v>0.1075</v>
      </c>
      <c r="J15" s="16">
        <v>8.9499999999999996E-2</v>
      </c>
      <c r="K15" s="18">
        <v>8.5000000000000006E-2</v>
      </c>
      <c r="L15" s="18">
        <v>8.4000000000000005E-2</v>
      </c>
      <c r="M15" s="18">
        <v>2.1999999999999999E-2</v>
      </c>
      <c r="N15" s="18">
        <v>5.0000000000000001E-3</v>
      </c>
      <c r="O15" s="18">
        <v>1.7999999999999999E-2</v>
      </c>
      <c r="P15" s="19">
        <v>-2.5500000000000002E-3</v>
      </c>
      <c r="Q15" s="19">
        <v>-2.9762000000000001E-4</v>
      </c>
      <c r="R15" s="20">
        <v>0</v>
      </c>
      <c r="S15" s="19">
        <v>7.6778999999999997E-3</v>
      </c>
      <c r="T15" s="19">
        <v>3.4641400000000003E-2</v>
      </c>
      <c r="U15" s="21">
        <v>0</v>
      </c>
      <c r="V15" s="21">
        <v>0</v>
      </c>
      <c r="W15" s="21">
        <v>0</v>
      </c>
      <c r="X15" s="21">
        <f>821*1000</f>
        <v>821000</v>
      </c>
      <c r="Y15" s="21">
        <v>0</v>
      </c>
      <c r="Z15" s="22">
        <v>21516</v>
      </c>
      <c r="AA15" s="22">
        <v>20821</v>
      </c>
      <c r="AB15" s="22">
        <v>19041</v>
      </c>
      <c r="AC15" s="22">
        <v>18178</v>
      </c>
      <c r="AD15" s="22">
        <v>16499</v>
      </c>
      <c r="AE15" s="23">
        <v>3045000</v>
      </c>
      <c r="AF15" s="23">
        <v>2174000</v>
      </c>
      <c r="AG15" s="23">
        <v>2166000</v>
      </c>
      <c r="AH15" s="23">
        <v>974000</v>
      </c>
      <c r="AI15" s="23">
        <v>1940000</v>
      </c>
      <c r="AJ15" s="22">
        <v>4.4344827586206899</v>
      </c>
      <c r="AK15" s="22">
        <v>6.3610855565777369</v>
      </c>
      <c r="AL15" s="22">
        <v>5.9949215143120957</v>
      </c>
      <c r="AM15" s="22">
        <v>13.519507186858316</v>
      </c>
      <c r="AN15" s="22">
        <v>6.0752577319587626</v>
      </c>
      <c r="AO15" s="24">
        <f t="array" ref="AO15">('1100'!G15) / 100</f>
        <v>7.4400000000000008E-2</v>
      </c>
      <c r="AP15" s="24">
        <f t="array" ref="AP15">('1100'!H15) / 100</f>
        <v>4.2599999999999999E-2</v>
      </c>
      <c r="AQ15" s="24">
        <f t="array" ref="AQ15">('1100'!I15) / 100</f>
        <v>5.8899999999999994E-2</v>
      </c>
      <c r="AR15" s="24">
        <f t="array" ref="AR15">('1100'!J15) / 100</f>
        <v>-2.18E-2</v>
      </c>
      <c r="AS15" s="24">
        <f t="array" ref="AS15">('1100'!K15) / 100</f>
        <v>5.67E-2</v>
      </c>
      <c r="AT15" s="25">
        <f t="array" ref="AT15">('1100'!A15) / 100</f>
        <v>0.23399999999999999</v>
      </c>
      <c r="AU15" s="25">
        <f t="array" ref="AU15">('1100'!B15) / 100</f>
        <v>0.22399999999999998</v>
      </c>
      <c r="AV15" s="25">
        <f t="array" ref="AV15">('1100'!C15) / 100</f>
        <v>0.23399999999999999</v>
      </c>
      <c r="AW15" s="25">
        <f t="array" ref="AW15">('1100'!D15) / 100</f>
        <v>0.24199999999999999</v>
      </c>
      <c r="AX15" s="25">
        <f t="array" ref="AX15">('1100'!E15) / 100</f>
        <v>0.28800000000000003</v>
      </c>
      <c r="AY15" s="23">
        <v>17327000</v>
      </c>
      <c r="AZ15" s="23">
        <v>14557000</v>
      </c>
      <c r="BA15" s="23">
        <v>12891000</v>
      </c>
      <c r="BB15" s="23">
        <v>12361000</v>
      </c>
      <c r="BC15" s="23">
        <v>12045000</v>
      </c>
      <c r="BD15" s="22">
        <v>7197000</v>
      </c>
      <c r="BE15" s="22">
        <v>7204000</v>
      </c>
      <c r="BF15" s="22">
        <v>6878000</v>
      </c>
      <c r="BG15" s="22">
        <v>6644000</v>
      </c>
      <c r="BH15" s="22">
        <v>7446000</v>
      </c>
      <c r="BI15" s="23">
        <v>22893000</v>
      </c>
      <c r="BJ15" s="23">
        <v>22325000</v>
      </c>
      <c r="BK15" s="23">
        <v>21076000</v>
      </c>
      <c r="BL15" s="23">
        <v>20072000</v>
      </c>
      <c r="BM15" s="23">
        <v>20270000</v>
      </c>
      <c r="BN15" s="22">
        <v>5363000</v>
      </c>
      <c r="BO15" s="22">
        <v>5001000</v>
      </c>
      <c r="BP15" s="22">
        <v>4932000</v>
      </c>
      <c r="BQ15" s="22">
        <v>4849000</v>
      </c>
      <c r="BR15" s="22">
        <v>5831000</v>
      </c>
    </row>
    <row r="16" spans="1:70" ht="14" x14ac:dyDescent="0.2">
      <c r="A16" s="13" t="s">
        <v>99</v>
      </c>
      <c r="B16" s="14">
        <v>5565420824</v>
      </c>
      <c r="C16" s="14" t="s">
        <v>100</v>
      </c>
      <c r="D16" s="14" t="s">
        <v>67</v>
      </c>
      <c r="E16" s="15" t="s">
        <v>68</v>
      </c>
      <c r="F16" s="16">
        <v>7.4999999999999997E-2</v>
      </c>
      <c r="G16" s="16">
        <v>7.1999999999999995E-2</v>
      </c>
      <c r="H16" s="17">
        <v>6.9000000000000006E-2</v>
      </c>
      <c r="I16" s="16">
        <v>6.8000000000000005E-2</v>
      </c>
      <c r="J16" s="16">
        <v>6.8000000000000005E-2</v>
      </c>
      <c r="K16" s="18">
        <v>8.5000000000000006E-2</v>
      </c>
      <c r="L16" s="18">
        <v>8.4000000000000005E-2</v>
      </c>
      <c r="M16" s="18">
        <v>2.1999999999999999E-2</v>
      </c>
      <c r="N16" s="18">
        <v>5.0000000000000001E-3</v>
      </c>
      <c r="O16" s="18">
        <v>1.7999999999999999E-2</v>
      </c>
      <c r="P16" s="19">
        <v>-2.5500000000000002E-3</v>
      </c>
      <c r="Q16" s="19">
        <v>-2.9762000000000001E-4</v>
      </c>
      <c r="R16" s="20">
        <v>0</v>
      </c>
      <c r="S16" s="19">
        <v>7.6778999999999997E-3</v>
      </c>
      <c r="T16" s="19">
        <v>3.4641400000000003E-2</v>
      </c>
      <c r="U16" s="21">
        <v>0</v>
      </c>
      <c r="V16" s="21">
        <v>0</v>
      </c>
      <c r="W16" s="21">
        <v>0</v>
      </c>
      <c r="X16" s="21">
        <v>0</v>
      </c>
      <c r="Y16" s="21">
        <v>0</v>
      </c>
      <c r="Z16" s="22">
        <v>13185</v>
      </c>
      <c r="AA16" s="22">
        <v>12772</v>
      </c>
      <c r="AB16" s="22">
        <v>12202</v>
      </c>
      <c r="AC16" s="22">
        <v>6120</v>
      </c>
      <c r="AD16" s="22">
        <v>10854</v>
      </c>
      <c r="AE16" s="23">
        <v>6345000</v>
      </c>
      <c r="AF16" s="23">
        <v>5682000</v>
      </c>
      <c r="AG16" s="23">
        <v>5103000</v>
      </c>
      <c r="AH16" s="23">
        <v>4762000</v>
      </c>
      <c r="AI16" s="23">
        <v>4434000</v>
      </c>
      <c r="AJ16" s="22">
        <v>1.3951142631993696</v>
      </c>
      <c r="AK16" s="22">
        <v>1.5281590989088349</v>
      </c>
      <c r="AL16" s="22">
        <v>0.96276699980403679</v>
      </c>
      <c r="AM16" s="22">
        <v>0.97270054598908018</v>
      </c>
      <c r="AN16" s="22">
        <v>1.2525935949481282</v>
      </c>
      <c r="AO16" s="24">
        <f t="array" ref="AO16">('1100'!G16) / 100</f>
        <v>4.2199999999999994E-2</v>
      </c>
      <c r="AP16" s="24">
        <f t="array" ref="AP16">('1100'!H16) / 100</f>
        <v>4.2599999999999999E-2</v>
      </c>
      <c r="AQ16" s="24">
        <f t="array" ref="AQ16">('1100'!I16) / 100</f>
        <v>4.6900000000000004E-2</v>
      </c>
      <c r="AR16" s="24">
        <f t="array" ref="AR16">('1100'!J16) / 100</f>
        <v>4.7E-2</v>
      </c>
      <c r="AS16" s="24">
        <f t="array" ref="AS16">('1100'!K16) / 100</f>
        <v>4.5199999999999997E-2</v>
      </c>
      <c r="AT16" s="25">
        <f t="array" ref="AT16">('1100'!A16) / 100</f>
        <v>0.22899999999999998</v>
      </c>
      <c r="AU16" s="25">
        <f t="array" ref="AU16">('1100'!B16) / 100</f>
        <v>0.23100000000000001</v>
      </c>
      <c r="AV16" s="25">
        <f t="array" ref="AV16">('1100'!C16) / 100</f>
        <v>0.20899999999999999</v>
      </c>
      <c r="AW16" s="25">
        <f t="array" ref="AW16">('1100'!D16) / 100</f>
        <v>0.23</v>
      </c>
      <c r="AX16" s="25">
        <f t="array" ref="AX16">('1100'!E16) / 100</f>
        <v>0.23199999999999998</v>
      </c>
      <c r="AY16" s="23">
        <v>81854000</v>
      </c>
      <c r="AZ16" s="23">
        <v>74508000</v>
      </c>
      <c r="BA16" s="23">
        <v>58679000</v>
      </c>
      <c r="BB16" s="23">
        <v>54328000</v>
      </c>
      <c r="BC16" s="23">
        <v>51263000</v>
      </c>
      <c r="BD16" s="22">
        <v>3606000</v>
      </c>
      <c r="BE16" s="22">
        <v>3526000</v>
      </c>
      <c r="BF16" s="22">
        <v>3846000</v>
      </c>
      <c r="BG16" s="22">
        <v>2769000</v>
      </c>
      <c r="BH16" s="22">
        <v>2767000</v>
      </c>
      <c r="BI16" s="23">
        <v>30018000</v>
      </c>
      <c r="BJ16" s="23">
        <v>28618000</v>
      </c>
      <c r="BK16" s="23">
        <v>23731000</v>
      </c>
      <c r="BL16" s="23">
        <v>18814000</v>
      </c>
      <c r="BM16" s="23">
        <v>17293000</v>
      </c>
      <c r="BN16" s="22">
        <v>6878000</v>
      </c>
      <c r="BO16" s="22">
        <v>6609000</v>
      </c>
      <c r="BP16" s="22">
        <v>4952000</v>
      </c>
      <c r="BQ16" s="22">
        <v>4331000</v>
      </c>
      <c r="BR16" s="22">
        <v>4020000</v>
      </c>
    </row>
    <row r="17" spans="1:70" ht="14" x14ac:dyDescent="0.2">
      <c r="A17" s="13" t="s">
        <v>101</v>
      </c>
      <c r="B17" s="14">
        <v>5560408113</v>
      </c>
      <c r="C17" s="14" t="s">
        <v>102</v>
      </c>
      <c r="D17" s="14" t="s">
        <v>67</v>
      </c>
      <c r="E17" s="15" t="s">
        <v>68</v>
      </c>
      <c r="F17" s="16">
        <v>8.2000000000000003E-2</v>
      </c>
      <c r="G17" s="16">
        <v>8.4000000000000005E-2</v>
      </c>
      <c r="H17" s="17">
        <v>9.1300000000000006E-2</v>
      </c>
      <c r="I17" s="16">
        <v>8.2600000000000007E-2</v>
      </c>
      <c r="J17" s="16">
        <v>8.1100000000000005E-2</v>
      </c>
      <c r="K17" s="18">
        <v>8.5000000000000006E-2</v>
      </c>
      <c r="L17" s="18">
        <v>8.4000000000000005E-2</v>
      </c>
      <c r="M17" s="18">
        <v>2.1999999999999999E-2</v>
      </c>
      <c r="N17" s="18">
        <v>5.0000000000000001E-3</v>
      </c>
      <c r="O17" s="18">
        <v>1.7999999999999999E-2</v>
      </c>
      <c r="P17" s="19">
        <v>-2.5500000000000002E-3</v>
      </c>
      <c r="Q17" s="19">
        <v>-2.9762000000000001E-4</v>
      </c>
      <c r="R17" s="20">
        <v>0</v>
      </c>
      <c r="S17" s="19">
        <v>7.6778999999999997E-3</v>
      </c>
      <c r="T17" s="19">
        <v>3.4641400000000003E-2</v>
      </c>
      <c r="U17" s="21">
        <v>0</v>
      </c>
      <c r="V17" s="21">
        <v>0</v>
      </c>
      <c r="W17" s="21">
        <v>0</v>
      </c>
      <c r="X17" s="21">
        <v>0</v>
      </c>
      <c r="Y17" s="21">
        <v>0</v>
      </c>
      <c r="Z17" s="22">
        <v>6024</v>
      </c>
      <c r="AA17" s="22">
        <v>4720</v>
      </c>
      <c r="AB17" s="22">
        <v>4134</v>
      </c>
      <c r="AC17" s="22">
        <v>3856</v>
      </c>
      <c r="AD17" s="22">
        <v>3869</v>
      </c>
      <c r="AE17" s="23">
        <v>4031000</v>
      </c>
      <c r="AF17" s="23">
        <v>2471000</v>
      </c>
      <c r="AG17" s="23">
        <v>1834707</v>
      </c>
      <c r="AH17" s="23">
        <v>1477071</v>
      </c>
      <c r="AI17" s="23">
        <v>1654569</v>
      </c>
      <c r="AJ17" s="22">
        <v>2.3872488216323493</v>
      </c>
      <c r="AK17" s="22">
        <v>2.876568191015783</v>
      </c>
      <c r="AL17" s="22">
        <v>2.7523408369837798</v>
      </c>
      <c r="AM17" s="22">
        <v>2.6134261657022582</v>
      </c>
      <c r="AN17" s="22">
        <v>1.2443863024147075</v>
      </c>
      <c r="AO17" s="24">
        <f t="array" ref="AO17">('1100'!G17) / 100</f>
        <v>0.10439999999999999</v>
      </c>
      <c r="AP17" s="24">
        <f t="array" ref="AP17">('1100'!H17) / 100</f>
        <v>8.72E-2</v>
      </c>
      <c r="AQ17" s="24">
        <f t="array" ref="AQ17">('1100'!I17) / 100</f>
        <v>8.14E-2</v>
      </c>
      <c r="AR17" s="24">
        <f t="array" ref="AR17">('1100'!J17) / 100</f>
        <v>7.4200000000000002E-2</v>
      </c>
      <c r="AS17" s="24">
        <f t="array" ref="AS17">('1100'!K17) / 100</f>
        <v>8.3800000000000013E-2</v>
      </c>
      <c r="AT17" s="25">
        <f t="array" ref="AT17">('1100'!A17) / 100</f>
        <v>0.54400000000000004</v>
      </c>
      <c r="AU17" s="25">
        <f t="array" ref="AU17">('1100'!B17) / 100</f>
        <v>0.30199999999999999</v>
      </c>
      <c r="AV17" s="25">
        <f t="array" ref="AV17">('1100'!C17) / 100</f>
        <v>0.33799999999999997</v>
      </c>
      <c r="AW17" s="25">
        <f t="array" ref="AW17">('1100'!D17) / 100</f>
        <v>0.38700000000000001</v>
      </c>
      <c r="AX17" s="25">
        <f t="array" ref="AX17">('1100'!E17) / 100</f>
        <v>0.38700000000000001</v>
      </c>
      <c r="AY17" s="23">
        <v>32267000</v>
      </c>
      <c r="AZ17" s="23">
        <v>22783000</v>
      </c>
      <c r="BA17" s="23">
        <v>16952538</v>
      </c>
      <c r="BB17" s="23">
        <v>14087258</v>
      </c>
      <c r="BC17" s="23">
        <v>14845604</v>
      </c>
      <c r="BD17" s="22">
        <v>11891000</v>
      </c>
      <c r="BE17" s="22">
        <v>4416000</v>
      </c>
      <c r="BF17" s="22">
        <v>2667506</v>
      </c>
      <c r="BG17" s="22">
        <v>1563041</v>
      </c>
      <c r="BH17" s="22">
        <v>1559618</v>
      </c>
      <c r="BI17" s="23">
        <v>39170000</v>
      </c>
      <c r="BJ17" s="23">
        <v>21864000</v>
      </c>
      <c r="BK17" s="23">
        <v>15299967</v>
      </c>
      <c r="BL17" s="23">
        <v>11400519</v>
      </c>
      <c r="BM17" s="23">
        <v>11078776</v>
      </c>
      <c r="BN17" s="22">
        <v>21324000</v>
      </c>
      <c r="BO17" s="22">
        <v>6603000</v>
      </c>
      <c r="BP17" s="22">
        <v>5172655</v>
      </c>
      <c r="BQ17" s="22">
        <v>4412320</v>
      </c>
      <c r="BR17" s="22">
        <v>4282238</v>
      </c>
    </row>
    <row r="18" spans="1:70" ht="14" x14ac:dyDescent="0.2">
      <c r="A18" s="13" t="s">
        <v>103</v>
      </c>
      <c r="B18" s="14">
        <v>5560348590</v>
      </c>
      <c r="C18" s="14" t="s">
        <v>104</v>
      </c>
      <c r="D18" s="14" t="s">
        <v>67</v>
      </c>
      <c r="E18" s="15" t="s">
        <v>68</v>
      </c>
      <c r="F18" s="16">
        <f t="shared" ref="F18:G18" si="0">0.1</f>
        <v>0.1</v>
      </c>
      <c r="G18" s="16">
        <f t="shared" si="0"/>
        <v>0.1</v>
      </c>
      <c r="H18" s="17" t="s">
        <v>105</v>
      </c>
      <c r="I18" s="16" t="s">
        <v>105</v>
      </c>
      <c r="J18" s="16">
        <f>0.1</f>
        <v>0.1</v>
      </c>
      <c r="K18" s="18">
        <v>8.5000000000000006E-2</v>
      </c>
      <c r="L18" s="18">
        <v>8.4000000000000005E-2</v>
      </c>
      <c r="M18" s="18">
        <v>2.1999999999999999E-2</v>
      </c>
      <c r="N18" s="18">
        <v>5.0000000000000001E-3</v>
      </c>
      <c r="O18" s="18">
        <v>1.7999999999999999E-2</v>
      </c>
      <c r="P18" s="19">
        <v>-2.5500000000000002E-3</v>
      </c>
      <c r="Q18" s="19">
        <v>-2.9762000000000001E-4</v>
      </c>
      <c r="R18" s="20">
        <v>0</v>
      </c>
      <c r="S18" s="19">
        <v>7.6778999999999997E-3</v>
      </c>
      <c r="T18" s="19">
        <v>3.4641400000000003E-2</v>
      </c>
      <c r="U18" s="21">
        <v>0</v>
      </c>
      <c r="V18" s="21">
        <v>0</v>
      </c>
      <c r="W18" s="21">
        <v>0</v>
      </c>
      <c r="X18" s="21">
        <v>0</v>
      </c>
      <c r="Y18" s="21">
        <v>0</v>
      </c>
      <c r="Z18" s="22">
        <v>1335</v>
      </c>
      <c r="AA18" s="22">
        <v>1283</v>
      </c>
      <c r="AB18" s="22">
        <v>1195</v>
      </c>
      <c r="AC18" s="22">
        <v>1079</v>
      </c>
      <c r="AD18" s="22">
        <v>1085</v>
      </c>
      <c r="AE18" s="23">
        <v>656000</v>
      </c>
      <c r="AF18" s="23">
        <v>571000</v>
      </c>
      <c r="AG18" s="23">
        <v>503000</v>
      </c>
      <c r="AH18" s="23">
        <v>426000</v>
      </c>
      <c r="AI18" s="23">
        <v>353000</v>
      </c>
      <c r="AJ18" s="22">
        <v>2.7408536585365852</v>
      </c>
      <c r="AK18" s="22">
        <v>2.7478108581436076</v>
      </c>
      <c r="AL18" s="22">
        <v>2.320079522862823</v>
      </c>
      <c r="AM18" s="22">
        <v>2.3262910798122065</v>
      </c>
      <c r="AN18" s="22">
        <v>2.6260623229461757</v>
      </c>
      <c r="AO18" s="24">
        <f t="array" ref="AO18">('1100'!G18) / 100</f>
        <v>8.2400000000000001E-2</v>
      </c>
      <c r="AP18" s="24">
        <f t="array" ref="AP18">('1100'!H18) / 100</f>
        <v>7.3300000000000004E-2</v>
      </c>
      <c r="AQ18" s="24">
        <f t="array" ref="AQ18">('1100'!I18) / 100</f>
        <v>6.5799999999999997E-2</v>
      </c>
      <c r="AR18" s="24">
        <f t="array" ref="AR18">('1100'!J18) / 100</f>
        <v>5.8499999999999996E-2</v>
      </c>
      <c r="AS18" s="24">
        <f t="array" ref="AS18">('1100'!K18) / 100</f>
        <v>4.8799999999999996E-2</v>
      </c>
      <c r="AT18" s="25">
        <f t="array" ref="AT18">('1100'!A18) / 100</f>
        <v>0.34799999999999998</v>
      </c>
      <c r="AU18" s="25">
        <f t="array" ref="AU18">('1100'!B18) / 100</f>
        <v>0.379</v>
      </c>
      <c r="AV18" s="25">
        <f t="array" ref="AV18">('1100'!C18) / 100</f>
        <v>0.36200000000000004</v>
      </c>
      <c r="AW18" s="25">
        <f t="array" ref="AW18">('1100'!D18) / 100</f>
        <v>0.34399999999999997</v>
      </c>
      <c r="AX18" s="25">
        <f t="array" ref="AX18">('1100'!E18) / 100</f>
        <v>0.34299999999999997</v>
      </c>
      <c r="AY18" s="23">
        <v>4762000</v>
      </c>
      <c r="AZ18" s="23">
        <v>4793000</v>
      </c>
      <c r="BA18" s="23">
        <v>4586000</v>
      </c>
      <c r="BB18" s="23">
        <v>4326000</v>
      </c>
      <c r="BC18" s="23">
        <v>4087000</v>
      </c>
      <c r="BD18" s="22">
        <v>2018000</v>
      </c>
      <c r="BE18" s="22">
        <v>1815000</v>
      </c>
      <c r="BF18" s="22">
        <v>1667000</v>
      </c>
      <c r="BG18" s="22">
        <v>1609000</v>
      </c>
      <c r="BH18" s="22">
        <v>1570000</v>
      </c>
      <c r="BI18" s="23">
        <v>6062000</v>
      </c>
      <c r="BJ18" s="23">
        <v>5749000</v>
      </c>
      <c r="BK18" s="23">
        <v>5295000</v>
      </c>
      <c r="BL18" s="23">
        <v>4941000</v>
      </c>
      <c r="BM18" s="23">
        <v>4757000</v>
      </c>
      <c r="BN18" s="22">
        <v>2108000</v>
      </c>
      <c r="BO18" s="22">
        <v>2181000</v>
      </c>
      <c r="BP18" s="22">
        <v>1915000</v>
      </c>
      <c r="BQ18" s="22">
        <v>1701000</v>
      </c>
      <c r="BR18" s="22">
        <v>1631000</v>
      </c>
    </row>
    <row r="19" spans="1:70" ht="14" x14ac:dyDescent="0.2">
      <c r="A19" s="13" t="s">
        <v>106</v>
      </c>
      <c r="B19" s="14">
        <v>5590770763</v>
      </c>
      <c r="C19" s="14" t="s">
        <v>107</v>
      </c>
      <c r="D19" s="14" t="s">
        <v>67</v>
      </c>
      <c r="E19" s="15" t="s">
        <v>68</v>
      </c>
      <c r="F19" s="16">
        <v>0.08</v>
      </c>
      <c r="G19" s="16">
        <v>0.08</v>
      </c>
      <c r="H19" s="17">
        <v>0.08</v>
      </c>
      <c r="I19" s="16">
        <v>0.08</v>
      </c>
      <c r="J19" s="16">
        <v>9.6000000000000002E-2</v>
      </c>
      <c r="K19" s="18">
        <v>8.5000000000000006E-2</v>
      </c>
      <c r="L19" s="18">
        <v>8.4000000000000005E-2</v>
      </c>
      <c r="M19" s="18">
        <v>2.1999999999999999E-2</v>
      </c>
      <c r="N19" s="18">
        <v>5.0000000000000001E-3</v>
      </c>
      <c r="O19" s="18">
        <v>1.7999999999999999E-2</v>
      </c>
      <c r="P19" s="19">
        <v>-2.5500000000000002E-3</v>
      </c>
      <c r="Q19" s="19">
        <v>-2.9762000000000001E-4</v>
      </c>
      <c r="R19" s="20">
        <v>0</v>
      </c>
      <c r="S19" s="19">
        <v>7.6778999999999997E-3</v>
      </c>
      <c r="T19" s="19">
        <v>3.4641400000000003E-2</v>
      </c>
      <c r="U19" s="21">
        <v>0</v>
      </c>
      <c r="V19" s="21">
        <v>0</v>
      </c>
      <c r="W19" s="21">
        <v>0</v>
      </c>
      <c r="X19" s="21">
        <v>0</v>
      </c>
      <c r="Y19" s="21">
        <v>0</v>
      </c>
      <c r="Z19" s="22">
        <v>2001</v>
      </c>
      <c r="AA19" s="22">
        <v>2693</v>
      </c>
      <c r="AB19" s="22">
        <v>2860</v>
      </c>
      <c r="AC19" s="22">
        <v>1737</v>
      </c>
      <c r="AD19" s="22">
        <v>1188</v>
      </c>
      <c r="AE19" s="27">
        <v>-676500</v>
      </c>
      <c r="AF19" s="23">
        <v>364600</v>
      </c>
      <c r="AG19" s="23">
        <v>1082100</v>
      </c>
      <c r="AH19" s="23">
        <v>902800</v>
      </c>
      <c r="AI19" s="23">
        <v>467000</v>
      </c>
      <c r="AJ19" s="28">
        <v>-3.3232815964523281</v>
      </c>
      <c r="AK19" s="22">
        <v>11.024410312671421</v>
      </c>
      <c r="AL19" s="22">
        <v>4.6416227705387669</v>
      </c>
      <c r="AM19" s="22">
        <v>3.810810810810811</v>
      </c>
      <c r="AN19" s="22">
        <v>4.1391862955032117</v>
      </c>
      <c r="AO19" s="24">
        <f t="array" ref="AO19">('1100'!G19) / 100</f>
        <v>-0.11410000000000001</v>
      </c>
      <c r="AP19" s="24">
        <f t="array" ref="AP19">('1100'!H19) / 100</f>
        <v>8.0000000000000002E-3</v>
      </c>
      <c r="AQ19" s="24">
        <f t="array" ref="AQ19">('1100'!I19) / 100</f>
        <v>5.7699999999999994E-2</v>
      </c>
      <c r="AR19" s="24">
        <f t="array" ref="AR19">('1100'!J19) / 100</f>
        <v>7.3700000000000002E-2</v>
      </c>
      <c r="AS19" s="24">
        <f t="array" ref="AS19">('1100'!K19) / 100</f>
        <v>4.6699999999999998E-2</v>
      </c>
      <c r="AT19" s="25">
        <f t="array" ref="AT19">('1100'!A19) / 100</f>
        <v>0.55500000000000005</v>
      </c>
      <c r="AU19" s="25">
        <f t="array" ref="AU19">('1100'!B19) / 100</f>
        <v>0.53299999999999992</v>
      </c>
      <c r="AV19" s="25">
        <f t="array" ref="AV19">('1100'!C19) / 100</f>
        <v>0.38299999999999995</v>
      </c>
      <c r="AW19" s="25">
        <f t="array" ref="AW19">('1100'!D19) / 100</f>
        <v>0.32299999999999995</v>
      </c>
      <c r="AX19" s="25">
        <f t="array" ref="AX19">('1100'!E19) / 100</f>
        <v>0.48</v>
      </c>
      <c r="AY19" s="23">
        <v>11810800</v>
      </c>
      <c r="AZ19" s="23">
        <v>13450700</v>
      </c>
      <c r="BA19" s="23">
        <v>12681600</v>
      </c>
      <c r="BB19" s="23">
        <v>8973800</v>
      </c>
      <c r="BC19" s="23">
        <v>6212900</v>
      </c>
      <c r="BD19" s="22">
        <v>5899700</v>
      </c>
      <c r="BE19" s="22">
        <v>6480900</v>
      </c>
      <c r="BF19" s="22">
        <v>6318700</v>
      </c>
      <c r="BG19" s="22">
        <v>4395100</v>
      </c>
      <c r="BH19" s="22">
        <v>2896700</v>
      </c>
      <c r="BI19" s="23">
        <v>11423300</v>
      </c>
      <c r="BJ19" s="23">
        <v>14281400</v>
      </c>
      <c r="BK19" s="23">
        <v>13612300</v>
      </c>
      <c r="BL19" s="23">
        <v>8629700</v>
      </c>
      <c r="BM19" s="23">
        <v>6018200</v>
      </c>
      <c r="BN19" s="22">
        <v>6342600</v>
      </c>
      <c r="BO19" s="22">
        <v>7613900</v>
      </c>
      <c r="BP19" s="22">
        <v>5211900</v>
      </c>
      <c r="BQ19" s="22">
        <v>2787200</v>
      </c>
      <c r="BR19" s="22">
        <v>2889700</v>
      </c>
    </row>
    <row r="20" spans="1:70" ht="14" x14ac:dyDescent="0.2">
      <c r="A20" s="13" t="s">
        <v>108</v>
      </c>
      <c r="B20" s="14">
        <v>5561125690</v>
      </c>
      <c r="C20" s="14" t="s">
        <v>109</v>
      </c>
      <c r="D20" s="14" t="s">
        <v>67</v>
      </c>
      <c r="E20" s="15" t="s">
        <v>68</v>
      </c>
      <c r="F20" s="16">
        <v>0.11210000000000001</v>
      </c>
      <c r="G20" s="16">
        <v>8.9800000000000005E-2</v>
      </c>
      <c r="H20" s="17">
        <v>6.2700000000000006E-2</v>
      </c>
      <c r="I20" s="16">
        <v>5.3499999999999999E-2</v>
      </c>
      <c r="J20" s="16">
        <v>5.2200000000000003E-2</v>
      </c>
      <c r="K20" s="18">
        <v>8.5000000000000006E-2</v>
      </c>
      <c r="L20" s="18">
        <v>8.4000000000000005E-2</v>
      </c>
      <c r="M20" s="18">
        <v>2.1999999999999999E-2</v>
      </c>
      <c r="N20" s="18">
        <v>5.0000000000000001E-3</v>
      </c>
      <c r="O20" s="18">
        <v>1.7999999999999999E-2</v>
      </c>
      <c r="P20" s="19">
        <v>-2.5500000000000002E-3</v>
      </c>
      <c r="Q20" s="19">
        <v>-2.9762000000000001E-4</v>
      </c>
      <c r="R20" s="20">
        <v>0</v>
      </c>
      <c r="S20" s="19">
        <v>7.6778999999999997E-3</v>
      </c>
      <c r="T20" s="19">
        <v>3.4641400000000003E-2</v>
      </c>
      <c r="U20" s="21">
        <v>0</v>
      </c>
      <c r="V20" s="21">
        <v>0</v>
      </c>
      <c r="W20" s="21">
        <f>35*1000</f>
        <v>35000</v>
      </c>
      <c r="X20" s="21">
        <v>0</v>
      </c>
      <c r="Y20" s="21">
        <f>13*1000</f>
        <v>13000</v>
      </c>
      <c r="Z20" s="22">
        <v>4476</v>
      </c>
      <c r="AA20" s="22">
        <v>4195</v>
      </c>
      <c r="AB20" s="22">
        <v>4385</v>
      </c>
      <c r="AC20" s="22">
        <v>4097</v>
      </c>
      <c r="AD20" s="22">
        <v>4298</v>
      </c>
      <c r="AE20" s="23">
        <v>3032000</v>
      </c>
      <c r="AF20" s="23">
        <v>3595000</v>
      </c>
      <c r="AG20" s="23">
        <v>3195000</v>
      </c>
      <c r="AH20" s="23">
        <v>2068000</v>
      </c>
      <c r="AI20" s="23">
        <v>2393000</v>
      </c>
      <c r="AJ20" s="22">
        <v>2.3060686015831133</v>
      </c>
      <c r="AK20" s="22">
        <v>1.7148817802503478</v>
      </c>
      <c r="AL20" s="22">
        <v>2.1480438184663537</v>
      </c>
      <c r="AM20" s="22">
        <v>3.9366537717601546</v>
      </c>
      <c r="AN20" s="22">
        <v>2.7760133723359801</v>
      </c>
      <c r="AO20" s="24">
        <f t="array" ref="AO20">('1100'!G20) / 100</f>
        <v>3.9399999999999998E-2</v>
      </c>
      <c r="AP20" s="24">
        <f t="array" ref="AP20">('1100'!H20) / 100</f>
        <v>6.2100000000000002E-2</v>
      </c>
      <c r="AQ20" s="24">
        <f t="array" ref="AQ20">('1100'!I20) / 100</f>
        <v>5.5899999999999998E-2</v>
      </c>
      <c r="AR20" s="24">
        <f t="array" ref="AR20">('1100'!J20) / 100</f>
        <v>4.6799999999999994E-2</v>
      </c>
      <c r="AS20" s="24">
        <f t="array" ref="AS20">('1100'!K20) / 100</f>
        <v>3.9900000000000005E-2</v>
      </c>
      <c r="AT20" s="25">
        <f t="array" ref="AT20">('1100'!A20) / 100</f>
        <v>0.25</v>
      </c>
      <c r="AU20" s="25">
        <f t="array" ref="AU20">('1100'!B20) / 100</f>
        <v>0.24399999999999999</v>
      </c>
      <c r="AV20" s="25">
        <f t="array" ref="AV20">('1100'!C20) / 100</f>
        <v>0.25700000000000001</v>
      </c>
      <c r="AW20" s="25">
        <f t="array" ref="AW20">('1100'!D20) / 100</f>
        <v>0.24199999999999999</v>
      </c>
      <c r="AX20" s="25">
        <f t="array" ref="AX20">('1100'!E20) / 100</f>
        <v>0.19800000000000001</v>
      </c>
      <c r="AY20" s="23">
        <v>38560000</v>
      </c>
      <c r="AZ20" s="23">
        <v>35760000</v>
      </c>
      <c r="BA20" s="23">
        <v>35548000</v>
      </c>
      <c r="BB20" s="23">
        <v>30187000</v>
      </c>
      <c r="BC20" s="23">
        <v>29532000</v>
      </c>
      <c r="BD20" s="22">
        <v>1496000</v>
      </c>
      <c r="BE20" s="22">
        <v>1520000</v>
      </c>
      <c r="BF20" s="22">
        <v>1175000</v>
      </c>
      <c r="BG20" s="22">
        <v>812000</v>
      </c>
      <c r="BH20" s="22">
        <v>847000</v>
      </c>
      <c r="BI20" s="23">
        <v>19395000</v>
      </c>
      <c r="BJ20" s="23">
        <v>20001000</v>
      </c>
      <c r="BK20" s="23">
        <v>17200000</v>
      </c>
      <c r="BL20" s="23">
        <v>16416000</v>
      </c>
      <c r="BM20" s="23">
        <v>16081000</v>
      </c>
      <c r="BN20" s="22">
        <v>4841000</v>
      </c>
      <c r="BO20" s="22">
        <v>4887000</v>
      </c>
      <c r="BP20" s="22">
        <v>4417000</v>
      </c>
      <c r="BQ20" s="22">
        <v>3968000</v>
      </c>
      <c r="BR20" s="22">
        <v>3186000</v>
      </c>
    </row>
    <row r="21" spans="1:70" ht="14" x14ac:dyDescent="0.2">
      <c r="A21" s="13" t="s">
        <v>110</v>
      </c>
      <c r="B21" s="14">
        <v>5560255001</v>
      </c>
      <c r="C21" s="14" t="s">
        <v>111</v>
      </c>
      <c r="D21" s="14" t="s">
        <v>67</v>
      </c>
      <c r="E21" s="15" t="s">
        <v>68</v>
      </c>
      <c r="F21" s="16">
        <v>9.9400000000000002E-2</v>
      </c>
      <c r="G21" s="16">
        <v>0.1</v>
      </c>
      <c r="H21" s="17">
        <v>0.1</v>
      </c>
      <c r="I21" s="16">
        <v>0.11</v>
      </c>
      <c r="J21" s="16">
        <v>0.11</v>
      </c>
      <c r="K21" s="18">
        <v>8.5000000000000006E-2</v>
      </c>
      <c r="L21" s="18">
        <v>8.4000000000000005E-2</v>
      </c>
      <c r="M21" s="18">
        <v>2.1999999999999999E-2</v>
      </c>
      <c r="N21" s="18">
        <v>5.0000000000000001E-3</v>
      </c>
      <c r="O21" s="18">
        <v>1.7999999999999999E-2</v>
      </c>
      <c r="P21" s="19">
        <v>-2.5500000000000002E-3</v>
      </c>
      <c r="Q21" s="19">
        <v>-2.9762000000000001E-4</v>
      </c>
      <c r="R21" s="20">
        <v>0</v>
      </c>
      <c r="S21" s="19">
        <v>7.6778999999999997E-3</v>
      </c>
      <c r="T21" s="19">
        <v>3.4641400000000003E-2</v>
      </c>
      <c r="U21" s="21">
        <v>0</v>
      </c>
      <c r="V21" s="21">
        <v>0</v>
      </c>
      <c r="W21" s="21">
        <v>0</v>
      </c>
      <c r="X21" s="21">
        <v>0</v>
      </c>
      <c r="Y21" s="21">
        <v>0</v>
      </c>
      <c r="Z21" s="22">
        <v>6134</v>
      </c>
      <c r="AA21" s="22">
        <v>5525</v>
      </c>
      <c r="AB21" s="22">
        <v>4370</v>
      </c>
      <c r="AC21" s="22">
        <v>4468</v>
      </c>
      <c r="AD21" s="22">
        <v>4596</v>
      </c>
      <c r="AE21" s="23">
        <v>3314000</v>
      </c>
      <c r="AF21" s="23">
        <v>8167000</v>
      </c>
      <c r="AG21" s="23">
        <v>3901000</v>
      </c>
      <c r="AH21" s="23">
        <v>2712000</v>
      </c>
      <c r="AI21" s="23">
        <v>2830000</v>
      </c>
      <c r="AJ21" s="22">
        <v>2.7012673506336755</v>
      </c>
      <c r="AK21" s="22">
        <v>0.92555405901799925</v>
      </c>
      <c r="AL21" s="22">
        <v>2.2522430146116381</v>
      </c>
      <c r="AM21" s="22">
        <v>4.0855457227138645</v>
      </c>
      <c r="AN21" s="22">
        <v>4.2787985865724378</v>
      </c>
      <c r="AO21" s="24">
        <f t="array" ref="AO21">('1100'!G21) / 100</f>
        <v>1.52E-2</v>
      </c>
      <c r="AP21" s="24">
        <f t="array" ref="AP21">('1100'!H21) / 100</f>
        <v>0.14230000000000001</v>
      </c>
      <c r="AQ21" s="24">
        <f t="array" ref="AQ21">('1100'!I21) / 100</f>
        <v>7.5999999999999998E-2</v>
      </c>
      <c r="AR21" s="24">
        <f t="array" ref="AR21">('1100'!J21) / 100</f>
        <v>3.3700000000000001E-2</v>
      </c>
      <c r="AS21" s="24">
        <f t="array" ref="AS21">('1100'!K21) / 100</f>
        <v>5.9000000000000004E-2</v>
      </c>
      <c r="AT21" s="25">
        <f t="array" ref="AT21">('1100'!A21) / 100</f>
        <v>0.56200000000000006</v>
      </c>
      <c r="AU21" s="25">
        <f t="array" ref="AU21">('1100'!B21) / 100</f>
        <v>0.56899999999999995</v>
      </c>
      <c r="AV21" s="25">
        <f t="array" ref="AV21">('1100'!C21) / 100</f>
        <v>0.52800000000000002</v>
      </c>
      <c r="AW21" s="25">
        <f t="array" ref="AW21">('1100'!D21) / 100</f>
        <v>0.53100000000000003</v>
      </c>
      <c r="AX21" s="25">
        <f t="array" ref="AX21">('1100'!E21) / 100</f>
        <v>0.52700000000000002</v>
      </c>
      <c r="AY21" s="23">
        <v>40634000</v>
      </c>
      <c r="AZ21" s="23">
        <v>43754000</v>
      </c>
      <c r="BA21" s="23">
        <v>26802000</v>
      </c>
      <c r="BB21" s="23">
        <v>24228000</v>
      </c>
      <c r="BC21" s="23">
        <v>24614000</v>
      </c>
      <c r="BD21" s="22">
        <v>2215000</v>
      </c>
      <c r="BE21" s="22">
        <v>2225000</v>
      </c>
      <c r="BF21" s="22">
        <v>1952000</v>
      </c>
      <c r="BG21" s="22">
        <v>1951000</v>
      </c>
      <c r="BH21" s="22">
        <v>2011000</v>
      </c>
      <c r="BI21" s="23">
        <v>47926000</v>
      </c>
      <c r="BJ21" s="23">
        <v>51415000</v>
      </c>
      <c r="BK21" s="23">
        <v>37978000</v>
      </c>
      <c r="BL21" s="23">
        <v>36360000</v>
      </c>
      <c r="BM21" s="23">
        <v>36924000</v>
      </c>
      <c r="BN21" s="22">
        <v>26945000</v>
      </c>
      <c r="BO21" s="22">
        <v>29254000</v>
      </c>
      <c r="BP21" s="22">
        <v>20041000</v>
      </c>
      <c r="BQ21" s="22">
        <v>19294000</v>
      </c>
      <c r="BR21" s="22">
        <v>19462000</v>
      </c>
    </row>
    <row r="22" spans="1:70" ht="14" x14ac:dyDescent="0.2">
      <c r="A22" s="13" t="s">
        <v>112</v>
      </c>
      <c r="B22" s="14">
        <v>5563808723</v>
      </c>
      <c r="C22" s="14" t="s">
        <v>113</v>
      </c>
      <c r="D22" s="14" t="s">
        <v>67</v>
      </c>
      <c r="E22" s="15" t="s">
        <v>114</v>
      </c>
      <c r="F22" s="16">
        <v>9.6500000000000002E-2</v>
      </c>
      <c r="G22" s="16">
        <v>9.5399999999999999E-2</v>
      </c>
      <c r="H22" s="17">
        <v>7.7200000000000005E-2</v>
      </c>
      <c r="I22" s="16">
        <v>8.6499999999999994E-2</v>
      </c>
      <c r="J22" s="16">
        <v>0.05</v>
      </c>
      <c r="K22" s="18">
        <v>8.5000000000000006E-2</v>
      </c>
      <c r="L22" s="18">
        <v>8.4000000000000005E-2</v>
      </c>
      <c r="M22" s="18">
        <v>2.1999999999999999E-2</v>
      </c>
      <c r="N22" s="18">
        <v>5.0000000000000001E-3</v>
      </c>
      <c r="O22" s="18">
        <v>1.7999999999999999E-2</v>
      </c>
      <c r="P22" s="19">
        <v>-2.5500000000000002E-3</v>
      </c>
      <c r="Q22" s="19">
        <v>-2.9762000000000001E-4</v>
      </c>
      <c r="R22" s="20">
        <v>0</v>
      </c>
      <c r="S22" s="19">
        <v>7.6778999999999997E-3</v>
      </c>
      <c r="T22" s="19">
        <v>3.4641400000000003E-2</v>
      </c>
      <c r="U22" s="21">
        <v>0</v>
      </c>
      <c r="V22" s="21">
        <v>0</v>
      </c>
      <c r="W22" s="21">
        <v>0</v>
      </c>
      <c r="X22" s="21">
        <v>0</v>
      </c>
      <c r="Y22" s="21">
        <v>0</v>
      </c>
      <c r="Z22" s="22">
        <v>213</v>
      </c>
      <c r="AA22" s="22">
        <v>203</v>
      </c>
      <c r="AB22" s="22">
        <v>161</v>
      </c>
      <c r="AC22" s="22">
        <v>157</v>
      </c>
      <c r="AD22" s="22">
        <v>153</v>
      </c>
      <c r="AE22" s="23">
        <v>466773</v>
      </c>
      <c r="AF22" s="23">
        <v>375659</v>
      </c>
      <c r="AG22" s="23">
        <v>258989</v>
      </c>
      <c r="AH22" s="23">
        <v>238109</v>
      </c>
      <c r="AI22" s="23">
        <v>252039</v>
      </c>
      <c r="AJ22" s="22">
        <v>0.22947128475725889</v>
      </c>
      <c r="AK22" s="22">
        <v>0.20379386624571752</v>
      </c>
      <c r="AL22" s="22">
        <v>0.47775388143898001</v>
      </c>
      <c r="AM22" s="22">
        <v>0.13353128189190666</v>
      </c>
      <c r="AN22" s="22">
        <v>0.13182880427235469</v>
      </c>
      <c r="AO22" s="24">
        <f t="array" ref="AO22">('1100'!G22) / 100</f>
        <v>0.37380000000000002</v>
      </c>
      <c r="AP22" s="24">
        <f t="array" ref="AP22">('1100'!H22) / 100</f>
        <v>0.4103</v>
      </c>
      <c r="AQ22" s="24">
        <f t="array" ref="AQ22">('1100'!I22) / 100</f>
        <v>0.32329999999999998</v>
      </c>
      <c r="AR22" s="24">
        <f t="array" ref="AR22">('1100'!J22) / 100</f>
        <v>0.30559999999999998</v>
      </c>
      <c r="AS22" s="24">
        <f t="array" ref="AS22">('1100'!K22) / 100</f>
        <v>0.31620000000000004</v>
      </c>
      <c r="AT22" s="25">
        <f t="array" ref="AT22">('1100'!A22) / 100</f>
        <v>0.87</v>
      </c>
      <c r="AU22" s="25">
        <f t="array" ref="AU22">('1100'!B22) / 100</f>
        <v>0.8909999999999999</v>
      </c>
      <c r="AV22" s="25">
        <f t="array" ref="AV22">('1100'!C22) / 100</f>
        <v>0.88200000000000001</v>
      </c>
      <c r="AW22" s="25">
        <f t="array" ref="AW22">('1100'!D22) / 100</f>
        <v>0</v>
      </c>
      <c r="AX22" s="25">
        <f t="array" ref="AX22">('1100'!E22) / 100</f>
        <v>0.76300000000000001</v>
      </c>
      <c r="AY22" s="23">
        <v>1298729</v>
      </c>
      <c r="AZ22" s="23">
        <v>1131446</v>
      </c>
      <c r="BA22" s="23">
        <v>796714</v>
      </c>
      <c r="BB22" s="23">
        <v>748161</v>
      </c>
      <c r="BC22" s="23">
        <v>768347</v>
      </c>
      <c r="BD22" s="22">
        <v>165174</v>
      </c>
      <c r="BE22" s="22">
        <v>171517</v>
      </c>
      <c r="BF22" s="22">
        <v>149227</v>
      </c>
      <c r="BG22" s="22">
        <v>530000</v>
      </c>
      <c r="BH22" s="22">
        <v>530000</v>
      </c>
      <c r="BI22" s="23">
        <v>2333190</v>
      </c>
      <c r="BJ22" s="23">
        <v>2213966</v>
      </c>
      <c r="BK22" s="23">
        <v>2128054</v>
      </c>
      <c r="BL22" s="23">
        <v>1913282</v>
      </c>
      <c r="BM22" s="23">
        <v>665900</v>
      </c>
      <c r="BN22" s="22">
        <v>2030342</v>
      </c>
      <c r="BO22" s="22">
        <v>1972416</v>
      </c>
      <c r="BP22" s="22">
        <v>1877365</v>
      </c>
      <c r="BQ22" s="22">
        <v>699349</v>
      </c>
      <c r="BR22" s="22">
        <v>507872</v>
      </c>
    </row>
    <row r="23" spans="1:70" ht="14" x14ac:dyDescent="0.2">
      <c r="A23" s="13" t="s">
        <v>115</v>
      </c>
      <c r="B23" s="14">
        <v>5565393138</v>
      </c>
      <c r="C23" s="14" t="s">
        <v>116</v>
      </c>
      <c r="D23" s="14" t="s">
        <v>67</v>
      </c>
      <c r="E23" s="15" t="s">
        <v>68</v>
      </c>
      <c r="F23" s="16">
        <f>0.1126</f>
        <v>0.11260000000000001</v>
      </c>
      <c r="G23" s="16">
        <f>0.122</f>
        <v>0.122</v>
      </c>
      <c r="H23" s="16">
        <f>0.0998</f>
        <v>9.98E-2</v>
      </c>
      <c r="I23" s="16">
        <f>0.1172</f>
        <v>0.1172</v>
      </c>
      <c r="J23" s="16">
        <f>0.129</f>
        <v>0.129</v>
      </c>
      <c r="K23" s="18">
        <v>8.5000000000000006E-2</v>
      </c>
      <c r="L23" s="18">
        <v>8.4000000000000005E-2</v>
      </c>
      <c r="M23" s="18">
        <v>2.1999999999999999E-2</v>
      </c>
      <c r="N23" s="18">
        <v>5.0000000000000001E-3</v>
      </c>
      <c r="O23" s="18">
        <v>1.7999999999999999E-2</v>
      </c>
      <c r="P23" s="19">
        <v>-2.5500000000000002E-3</v>
      </c>
      <c r="Q23" s="19">
        <v>-2.9762000000000001E-4</v>
      </c>
      <c r="R23" s="20">
        <v>0</v>
      </c>
      <c r="S23" s="19">
        <v>7.6778999999999997E-3</v>
      </c>
      <c r="T23" s="19">
        <v>3.4641400000000003E-2</v>
      </c>
      <c r="U23" s="21">
        <v>0</v>
      </c>
      <c r="V23" s="21">
        <v>0</v>
      </c>
      <c r="W23" s="21">
        <v>0</v>
      </c>
      <c r="X23" s="21">
        <v>0</v>
      </c>
      <c r="Y23" s="21">
        <v>0</v>
      </c>
      <c r="Z23" s="29">
        <v>674</v>
      </c>
      <c r="AA23" s="29">
        <v>517</v>
      </c>
      <c r="AB23" s="29">
        <v>497</v>
      </c>
      <c r="AC23" s="29">
        <v>463</v>
      </c>
      <c r="AD23" s="29">
        <v>440</v>
      </c>
      <c r="AE23" s="23" t="s">
        <v>117</v>
      </c>
      <c r="AF23" s="23" t="s">
        <v>118</v>
      </c>
      <c r="AG23" s="23" t="s">
        <v>119</v>
      </c>
      <c r="AH23" s="23" t="s">
        <v>120</v>
      </c>
      <c r="AI23" s="23" t="s">
        <v>121</v>
      </c>
      <c r="AJ23" s="22">
        <v>1.222</v>
      </c>
      <c r="AK23" s="22">
        <v>0.65300000000000002</v>
      </c>
      <c r="AL23" s="22">
        <v>0.64800000000000002</v>
      </c>
      <c r="AM23" s="22">
        <v>0.81100000000000005</v>
      </c>
      <c r="AN23" s="22">
        <v>0.878</v>
      </c>
      <c r="AO23" s="24">
        <f t="array" ref="AO23">('1100'!G23) / 100</f>
        <v>0.18469999999999998</v>
      </c>
      <c r="AP23" s="24">
        <f t="array" ref="AP23">('1100'!H23) / 100</f>
        <v>0.23120000000000002</v>
      </c>
      <c r="AQ23" s="24">
        <f t="array" ref="AQ23">('1100'!I23) / 100</f>
        <v>0.2281</v>
      </c>
      <c r="AR23" s="24">
        <f t="array" ref="AR23">('1100'!J23) / 100</f>
        <v>0.21160000000000001</v>
      </c>
      <c r="AS23" s="24">
        <f t="array" ref="AS23">('1100'!K23) / 100</f>
        <v>0.19510000000000002</v>
      </c>
      <c r="AT23" s="25">
        <f t="array" ref="AT23">('1100'!A23) / 100</f>
        <v>0.74199999999999999</v>
      </c>
      <c r="AU23" s="25">
        <f t="array" ref="AU23">('1100'!B23) / 100</f>
        <v>0.7</v>
      </c>
      <c r="AV23" s="25">
        <f t="array" ref="AV23">('1100'!C23) / 100</f>
        <v>0.68799999999999994</v>
      </c>
      <c r="AW23" s="25">
        <f t="array" ref="AW23">('1100'!D23) / 100</f>
        <v>0.69</v>
      </c>
      <c r="AX23" s="25">
        <f t="array" ref="AX23">('1100'!E23) / 100</f>
        <v>0.65500000000000003</v>
      </c>
      <c r="AY23" s="23">
        <v>1878000</v>
      </c>
      <c r="AZ23" s="23">
        <v>1603000</v>
      </c>
      <c r="BA23" s="23">
        <v>1249000</v>
      </c>
      <c r="BB23" s="23">
        <v>1112785</v>
      </c>
      <c r="BC23" s="23">
        <v>1104175</v>
      </c>
      <c r="BD23" s="22" t="s">
        <v>122</v>
      </c>
      <c r="BE23" s="22" t="s">
        <v>123</v>
      </c>
      <c r="BF23" s="22" t="s">
        <v>124</v>
      </c>
      <c r="BG23" s="22">
        <v>290209</v>
      </c>
      <c r="BH23" s="22">
        <v>315869</v>
      </c>
      <c r="BI23" s="23">
        <v>4931000</v>
      </c>
      <c r="BJ23" s="23">
        <v>2339000</v>
      </c>
      <c r="BK23" s="23">
        <v>1992000</v>
      </c>
      <c r="BL23" s="23">
        <v>1434441</v>
      </c>
      <c r="BM23" s="23">
        <v>1335687</v>
      </c>
      <c r="BN23" s="22">
        <v>3657000</v>
      </c>
      <c r="BO23" s="22">
        <v>1637000</v>
      </c>
      <c r="BP23" s="22">
        <v>1371000</v>
      </c>
      <c r="BQ23" s="22">
        <v>990038</v>
      </c>
      <c r="BR23" s="22">
        <v>875503</v>
      </c>
    </row>
    <row r="24" spans="1:70" ht="15" x14ac:dyDescent="0.2">
      <c r="A24" s="26" t="s">
        <v>125</v>
      </c>
      <c r="B24" s="14">
        <v>5560514142</v>
      </c>
      <c r="C24" s="14" t="s">
        <v>126</v>
      </c>
      <c r="D24" s="14" t="s">
        <v>67</v>
      </c>
      <c r="E24" s="15" t="s">
        <v>68</v>
      </c>
      <c r="F24" s="16">
        <v>0.09</v>
      </c>
      <c r="G24" s="16">
        <v>0.09</v>
      </c>
      <c r="H24" s="16">
        <v>0.09</v>
      </c>
      <c r="I24" s="16">
        <v>0.09</v>
      </c>
      <c r="J24" s="16">
        <v>0.09</v>
      </c>
      <c r="K24" s="18">
        <v>8.5000000000000006E-2</v>
      </c>
      <c r="L24" s="18">
        <v>8.4000000000000005E-2</v>
      </c>
      <c r="M24" s="18">
        <v>2.1999999999999999E-2</v>
      </c>
      <c r="N24" s="18">
        <v>5.0000000000000001E-3</v>
      </c>
      <c r="O24" s="18">
        <v>1.7999999999999999E-2</v>
      </c>
      <c r="P24" s="19">
        <v>-2.5500000000000002E-3</v>
      </c>
      <c r="Q24" s="19">
        <v>-2.9762000000000001E-4</v>
      </c>
      <c r="R24" s="20">
        <v>0</v>
      </c>
      <c r="S24" s="19">
        <v>7.6778999999999997E-3</v>
      </c>
      <c r="T24" s="19">
        <v>3.4641400000000003E-2</v>
      </c>
      <c r="U24" s="21">
        <v>0</v>
      </c>
      <c r="V24" s="21">
        <v>0</v>
      </c>
      <c r="W24" s="21">
        <v>0</v>
      </c>
      <c r="X24" s="21">
        <v>0</v>
      </c>
      <c r="Y24" s="21">
        <v>0</v>
      </c>
      <c r="Z24" s="22">
        <v>5664</v>
      </c>
      <c r="AA24" s="22">
        <v>6226</v>
      </c>
      <c r="AB24" s="22">
        <v>6167</v>
      </c>
      <c r="AC24" s="22">
        <v>6071</v>
      </c>
      <c r="AD24" s="22">
        <v>5997</v>
      </c>
      <c r="AE24" s="23">
        <v>14533000</v>
      </c>
      <c r="AF24" s="23">
        <v>22058000</v>
      </c>
      <c r="AG24" s="23">
        <v>16703000</v>
      </c>
      <c r="AH24" s="23">
        <v>14628000</v>
      </c>
      <c r="AI24" s="23">
        <v>12689000</v>
      </c>
      <c r="AJ24" s="22">
        <v>1.2378724282667033</v>
      </c>
      <c r="AK24" s="22">
        <v>1.023211533230574</v>
      </c>
      <c r="AL24" s="22">
        <v>0.56947853678979821</v>
      </c>
      <c r="AM24" s="22">
        <v>0.64376538146021334</v>
      </c>
      <c r="AN24" s="22">
        <v>0.69461738513673266</v>
      </c>
      <c r="AO24" s="24">
        <f t="array" ref="AO24">('1100'!G24) / 100</f>
        <v>0.1081</v>
      </c>
      <c r="AP24" s="24">
        <f t="array" ref="AP24">('1100'!H24) / 100</f>
        <v>0.1845</v>
      </c>
      <c r="AQ24" s="24">
        <f t="array" ref="AQ24">('1100'!I24) / 100</f>
        <v>0.16149999999999998</v>
      </c>
      <c r="AR24" s="24">
        <f t="array" ref="AR24">('1100'!J24) / 100</f>
        <v>0.15869999999999998</v>
      </c>
      <c r="AS24" s="24">
        <f t="array" ref="AS24">('1100'!K24) / 100</f>
        <v>0.15240000000000001</v>
      </c>
      <c r="AT24" s="25">
        <f t="array" ref="AT24">('1100'!A24) / 100</f>
        <v>0.55299999999999994</v>
      </c>
      <c r="AU24" s="25">
        <f t="array" ref="AU24">('1100'!B24) / 100</f>
        <v>0.60499999999999998</v>
      </c>
      <c r="AV24" s="25">
        <f t="array" ref="AV24">('1100'!C24) / 100</f>
        <v>0.63200000000000001</v>
      </c>
      <c r="AW24" s="25">
        <f t="array" ref="AW24">('1100'!D24) / 100</f>
        <v>0.629</v>
      </c>
      <c r="AX24" s="25">
        <f t="array" ref="AX24">('1100'!E24) / 100</f>
        <v>0.624</v>
      </c>
      <c r="AY24" s="23">
        <v>79465000</v>
      </c>
      <c r="AZ24" s="23">
        <v>87343000</v>
      </c>
      <c r="BA24" s="23">
        <v>69064000</v>
      </c>
      <c r="BB24" s="23">
        <v>56663000</v>
      </c>
      <c r="BC24" s="23">
        <v>50290000</v>
      </c>
      <c r="BD24" s="22">
        <v>3240000</v>
      </c>
      <c r="BE24" s="22">
        <v>3295000</v>
      </c>
      <c r="BF24" s="22">
        <v>3153000</v>
      </c>
      <c r="BG24" s="22">
        <v>3077000</v>
      </c>
      <c r="BH24" s="22">
        <v>3204000</v>
      </c>
      <c r="BI24" s="23">
        <v>101957000</v>
      </c>
      <c r="BJ24" s="23">
        <v>96376000</v>
      </c>
      <c r="BK24" s="23">
        <v>80549000</v>
      </c>
      <c r="BL24" s="23">
        <v>72492000</v>
      </c>
      <c r="BM24" s="23">
        <v>66424000</v>
      </c>
      <c r="BN24" s="22">
        <v>56404000</v>
      </c>
      <c r="BO24" s="22">
        <v>58311000</v>
      </c>
      <c r="BP24" s="22">
        <v>50867000</v>
      </c>
      <c r="BQ24" s="22">
        <v>45625000</v>
      </c>
      <c r="BR24" s="22">
        <v>41429000</v>
      </c>
    </row>
    <row r="25" spans="1:70" ht="15" x14ac:dyDescent="0.2">
      <c r="A25" s="26" t="s">
        <v>127</v>
      </c>
      <c r="B25" s="14">
        <v>5567935183</v>
      </c>
      <c r="C25" s="14" t="s">
        <v>128</v>
      </c>
      <c r="D25" s="14" t="s">
        <v>67</v>
      </c>
      <c r="E25" s="15" t="s">
        <v>68</v>
      </c>
      <c r="F25" s="16">
        <v>0.11700000000000001</v>
      </c>
      <c r="G25" s="16">
        <v>0.114</v>
      </c>
      <c r="H25" s="16">
        <v>0.10299999999999999</v>
      </c>
      <c r="I25" s="16">
        <v>0.105</v>
      </c>
      <c r="J25" s="16">
        <v>0.105</v>
      </c>
      <c r="K25" s="18">
        <v>8.5000000000000006E-2</v>
      </c>
      <c r="L25" s="18">
        <v>8.4000000000000005E-2</v>
      </c>
      <c r="M25" s="18">
        <v>2.1999999999999999E-2</v>
      </c>
      <c r="N25" s="18">
        <v>5.0000000000000001E-3</v>
      </c>
      <c r="O25" s="18">
        <v>1.7999999999999999E-2</v>
      </c>
      <c r="P25" s="19">
        <v>-2.5500000000000002E-3</v>
      </c>
      <c r="Q25" s="19">
        <v>-2.9762000000000001E-4</v>
      </c>
      <c r="R25" s="20">
        <v>0</v>
      </c>
      <c r="S25" s="19">
        <v>7.6778999999999997E-3</v>
      </c>
      <c r="T25" s="19">
        <v>3.4641400000000003E-2</v>
      </c>
      <c r="U25" s="21">
        <v>0</v>
      </c>
      <c r="V25" s="21">
        <v>0</v>
      </c>
      <c r="W25" s="21">
        <v>0</v>
      </c>
      <c r="X25" s="21">
        <v>0</v>
      </c>
      <c r="Y25" s="21">
        <v>0</v>
      </c>
      <c r="Z25" s="22">
        <v>1093</v>
      </c>
      <c r="AA25" s="22">
        <v>1253</v>
      </c>
      <c r="AB25" s="22">
        <v>1049</v>
      </c>
      <c r="AC25" s="22">
        <v>375</v>
      </c>
      <c r="AD25" s="22">
        <v>337</v>
      </c>
      <c r="AE25" s="23">
        <v>551000</v>
      </c>
      <c r="AF25" s="23">
        <v>475600</v>
      </c>
      <c r="AG25" s="23">
        <v>431500</v>
      </c>
      <c r="AH25" s="23">
        <v>344100</v>
      </c>
      <c r="AI25" s="23">
        <v>198000</v>
      </c>
      <c r="AJ25" s="22">
        <v>1.6297640653357532</v>
      </c>
      <c r="AK25" s="22">
        <v>1.8467199327165686</v>
      </c>
      <c r="AL25" s="22">
        <v>1.7251448435689456</v>
      </c>
      <c r="AM25" s="22">
        <v>1.5896541702993316</v>
      </c>
      <c r="AN25" s="22">
        <v>2.4838383838383837</v>
      </c>
      <c r="AO25" s="24">
        <f t="array" ref="AO25">('1100'!G25) / 100</f>
        <v>4.1799999999999997E-2</v>
      </c>
      <c r="AP25" s="24">
        <f t="array" ref="AP25">('1100'!H25) / 100</f>
        <v>3.8300000000000001E-2</v>
      </c>
      <c r="AQ25" s="24">
        <f t="array" ref="AQ25">('1100'!I25) / 100</f>
        <v>4.5499999999999999E-2</v>
      </c>
      <c r="AR25" s="24">
        <f t="array" ref="AR25">('1100'!J25) / 100</f>
        <v>4.1799999999999997E-2</v>
      </c>
      <c r="AS25" s="24">
        <f t="array" ref="AS25">('1100'!K25) / 100</f>
        <v>2.6800000000000001E-2</v>
      </c>
      <c r="AT25" s="25">
        <f t="array" ref="AT25">('1100'!A25) / 100</f>
        <v>0.45700000000000002</v>
      </c>
      <c r="AU25" s="25">
        <f t="array" ref="AU25">('1100'!B25) / 100</f>
        <v>0.41799999999999998</v>
      </c>
      <c r="AV25" s="25">
        <f t="array" ref="AV25">('1100'!C25) / 100</f>
        <v>0.43</v>
      </c>
      <c r="AW25" s="25">
        <f t="array" ref="AW25">('1100'!D25) / 100</f>
        <v>0.47299999999999998</v>
      </c>
      <c r="AX25" s="25">
        <f t="array" ref="AX25">('1100'!E25) / 100</f>
        <v>0.379</v>
      </c>
      <c r="AY25" s="23">
        <v>7755000</v>
      </c>
      <c r="AZ25" s="23">
        <v>6747900</v>
      </c>
      <c r="BA25" s="23">
        <v>5818500</v>
      </c>
      <c r="BB25" s="23">
        <v>4359300</v>
      </c>
      <c r="BC25" s="23">
        <v>3424900</v>
      </c>
      <c r="BD25" s="22">
        <v>298000</v>
      </c>
      <c r="BE25" s="22">
        <v>299800</v>
      </c>
      <c r="BF25" s="22">
        <v>275500</v>
      </c>
      <c r="BG25" s="22">
        <v>9400</v>
      </c>
      <c r="BH25" s="22">
        <v>9800</v>
      </c>
      <c r="BI25" s="23">
        <v>5959000</v>
      </c>
      <c r="BJ25" s="23">
        <v>5992200</v>
      </c>
      <c r="BK25" s="23">
        <v>5057800</v>
      </c>
      <c r="BL25" s="23">
        <v>4031800</v>
      </c>
      <c r="BM25" s="23">
        <v>2487200</v>
      </c>
      <c r="BN25" s="22">
        <v>2721000</v>
      </c>
      <c r="BO25" s="22">
        <v>2502600</v>
      </c>
      <c r="BP25" s="22">
        <v>2176500</v>
      </c>
      <c r="BQ25" s="22">
        <v>1908100</v>
      </c>
      <c r="BR25" s="22">
        <v>942500</v>
      </c>
    </row>
    <row r="26" spans="1:70" ht="15" x14ac:dyDescent="0.2">
      <c r="A26" s="26" t="s">
        <v>129</v>
      </c>
      <c r="B26" s="14">
        <v>5568915390</v>
      </c>
      <c r="C26" s="14" t="s">
        <v>130</v>
      </c>
      <c r="D26" s="14" t="s">
        <v>67</v>
      </c>
      <c r="E26" s="15" t="s">
        <v>68</v>
      </c>
      <c r="F26" s="16">
        <v>0.106</v>
      </c>
      <c r="G26" s="16">
        <v>0.109</v>
      </c>
      <c r="H26" s="16">
        <v>7.3999999999999996E-2</v>
      </c>
      <c r="I26" s="16">
        <v>7.9000000000000001E-2</v>
      </c>
      <c r="J26" s="16">
        <v>7.0999999999999994E-2</v>
      </c>
      <c r="K26" s="18">
        <v>8.5000000000000006E-2</v>
      </c>
      <c r="L26" s="18">
        <v>8.4000000000000005E-2</v>
      </c>
      <c r="M26" s="18">
        <v>2.1999999999999999E-2</v>
      </c>
      <c r="N26" s="18">
        <v>5.0000000000000001E-3</v>
      </c>
      <c r="O26" s="18">
        <v>1.7999999999999999E-2</v>
      </c>
      <c r="P26" s="19">
        <v>-2.5500000000000002E-3</v>
      </c>
      <c r="Q26" s="19">
        <v>-2.9762000000000001E-4</v>
      </c>
      <c r="R26" s="20">
        <v>0</v>
      </c>
      <c r="S26" s="19">
        <v>7.6778999999999997E-3</v>
      </c>
      <c r="T26" s="19">
        <v>3.4641400000000003E-2</v>
      </c>
      <c r="U26" s="21">
        <v>0</v>
      </c>
      <c r="V26" s="21">
        <v>0</v>
      </c>
      <c r="W26" s="21">
        <v>0</v>
      </c>
      <c r="X26" s="21">
        <v>0</v>
      </c>
      <c r="Y26" s="21">
        <v>0</v>
      </c>
      <c r="Z26" s="22">
        <v>13833</v>
      </c>
      <c r="AA26" s="22">
        <v>13078</v>
      </c>
      <c r="AB26" s="22">
        <v>11864</v>
      </c>
      <c r="AC26" s="22">
        <v>11906</v>
      </c>
      <c r="AD26" s="22">
        <v>11722</v>
      </c>
      <c r="AE26" s="23">
        <v>2322000</v>
      </c>
      <c r="AF26" s="23">
        <v>2164000</v>
      </c>
      <c r="AG26" s="23">
        <v>1944000</v>
      </c>
      <c r="AH26" s="23">
        <v>1782000</v>
      </c>
      <c r="AI26" s="23">
        <v>1641000</v>
      </c>
      <c r="AJ26" s="22">
        <v>0.99612403100775193</v>
      </c>
      <c r="AK26" s="22">
        <v>0.94269870609981521</v>
      </c>
      <c r="AL26" s="22">
        <v>0.59053497942386834</v>
      </c>
      <c r="AM26" s="22">
        <v>0.96352413019079686</v>
      </c>
      <c r="AN26" s="22">
        <v>0.785496648385131</v>
      </c>
      <c r="AO26" s="24">
        <f t="array" ref="AO26">('1100'!G26) / 100</f>
        <v>6.0400000000000002E-2</v>
      </c>
      <c r="AP26" s="24">
        <f t="array" ref="AP26">('1100'!H26) / 100</f>
        <v>6.5299999999999997E-2</v>
      </c>
      <c r="AQ26" s="24">
        <f t="array" ref="AQ26">('1100'!I26) / 100</f>
        <v>6.9500000000000006E-2</v>
      </c>
      <c r="AR26" s="24">
        <f t="array" ref="AR26">('1100'!J26) / 100</f>
        <v>6.4399999999999999E-2</v>
      </c>
      <c r="AS26" s="24">
        <f t="array" ref="AS26">('1100'!K26) / 100</f>
        <v>6.0299999999999999E-2</v>
      </c>
      <c r="AT26" s="25">
        <f t="array" ref="AT26">('1100'!A26) / 100</f>
        <v>0.33799999999999997</v>
      </c>
      <c r="AU26" s="25">
        <f t="array" ref="AU26">('1100'!B26) / 100</f>
        <v>0.35100000000000003</v>
      </c>
      <c r="AV26" s="25">
        <f t="array" ref="AV26">('1100'!C26) / 100</f>
        <v>0.34899999999999998</v>
      </c>
      <c r="AW26" s="25">
        <f t="array" ref="AW26">('1100'!D26) / 100</f>
        <v>0.34299999999999997</v>
      </c>
      <c r="AX26" s="25">
        <f t="array" ref="AX26">('1100'!E26) / 100</f>
        <v>0.33799999999999997</v>
      </c>
      <c r="AY26" s="23">
        <v>29423000</v>
      </c>
      <c r="AZ26" s="23">
        <v>26303000</v>
      </c>
      <c r="BA26" s="23">
        <v>21876000</v>
      </c>
      <c r="BB26" s="23">
        <v>21147000</v>
      </c>
      <c r="BC26" s="23">
        <v>20404000</v>
      </c>
      <c r="BD26" s="22">
        <v>11000000</v>
      </c>
      <c r="BE26" s="22">
        <v>10439000</v>
      </c>
      <c r="BF26" s="22">
        <v>9500000</v>
      </c>
      <c r="BG26" s="22">
        <v>8904000</v>
      </c>
      <c r="BH26" s="22">
        <v>8731000</v>
      </c>
      <c r="BI26" s="23">
        <v>24333000</v>
      </c>
      <c r="BJ26" s="23">
        <v>22472000</v>
      </c>
      <c r="BK26" s="23">
        <v>19516000</v>
      </c>
      <c r="BL26" s="23">
        <v>17053000</v>
      </c>
      <c r="BM26" s="23">
        <v>16510000</v>
      </c>
      <c r="BN26" s="22">
        <v>8229000</v>
      </c>
      <c r="BO26" s="22">
        <v>7895000</v>
      </c>
      <c r="BP26" s="22">
        <v>6815000</v>
      </c>
      <c r="BQ26" s="22">
        <v>5855000</v>
      </c>
      <c r="BR26" s="22">
        <v>5586000</v>
      </c>
    </row>
    <row r="27" spans="1:70" ht="14" x14ac:dyDescent="0.2">
      <c r="A27" s="13" t="s">
        <v>131</v>
      </c>
      <c r="B27" s="14">
        <v>5565667119</v>
      </c>
      <c r="C27" s="14" t="s">
        <v>132</v>
      </c>
      <c r="D27" s="14" t="s">
        <v>67</v>
      </c>
      <c r="E27" s="15" t="s">
        <v>90</v>
      </c>
      <c r="F27" s="16">
        <v>0.113</v>
      </c>
      <c r="G27" s="16">
        <v>0.11</v>
      </c>
      <c r="H27" s="16">
        <v>0.1</v>
      </c>
      <c r="I27" s="16">
        <v>0.105</v>
      </c>
      <c r="J27" s="16">
        <v>0.105</v>
      </c>
      <c r="K27" s="18">
        <v>8.5000000000000006E-2</v>
      </c>
      <c r="L27" s="18">
        <v>8.4000000000000005E-2</v>
      </c>
      <c r="M27" s="18">
        <v>2.1999999999999999E-2</v>
      </c>
      <c r="N27" s="18">
        <v>5.0000000000000001E-3</v>
      </c>
      <c r="O27" s="18">
        <v>1.7999999999999999E-2</v>
      </c>
      <c r="P27" s="19">
        <v>-2.5500000000000002E-3</v>
      </c>
      <c r="Q27" s="19">
        <v>-2.9762000000000001E-4</v>
      </c>
      <c r="R27" s="20">
        <v>0</v>
      </c>
      <c r="S27" s="19">
        <v>7.6778999999999997E-3</v>
      </c>
      <c r="T27" s="19">
        <v>3.4641400000000003E-2</v>
      </c>
      <c r="U27" s="21">
        <v>0</v>
      </c>
      <c r="V27" s="21">
        <v>0</v>
      </c>
      <c r="W27" s="21">
        <v>0</v>
      </c>
      <c r="X27" s="21">
        <v>0</v>
      </c>
      <c r="Y27" s="21">
        <v>0</v>
      </c>
      <c r="Z27" s="22">
        <v>1152</v>
      </c>
      <c r="AA27" s="22">
        <v>1129</v>
      </c>
      <c r="AB27" s="22">
        <v>936</v>
      </c>
      <c r="AC27" s="22">
        <v>843</v>
      </c>
      <c r="AD27" s="22">
        <v>779</v>
      </c>
      <c r="AE27" s="23">
        <v>421917</v>
      </c>
      <c r="AF27" s="23">
        <v>419946</v>
      </c>
      <c r="AG27" s="23">
        <v>409153</v>
      </c>
      <c r="AH27" s="23">
        <v>155429</v>
      </c>
      <c r="AI27" s="23">
        <v>311185</v>
      </c>
      <c r="AJ27" s="22">
        <v>1.9821220761429381</v>
      </c>
      <c r="AK27" s="22">
        <v>0.76621041752987284</v>
      </c>
      <c r="AL27" s="22">
        <v>1.3260174066913843</v>
      </c>
      <c r="AM27" s="22">
        <v>2.591208847769721</v>
      </c>
      <c r="AN27" s="22">
        <v>0.7398974886321642</v>
      </c>
      <c r="AO27" s="24">
        <f t="array" ref="AO27">('1100'!G27) / 100</f>
        <v>0.12</v>
      </c>
      <c r="AP27" s="24">
        <f t="array" ref="AP27">('1100'!H27) / 100</f>
        <v>0.121</v>
      </c>
      <c r="AQ27" s="24">
        <f t="array" ref="AQ27">('1100'!I27) / 100</f>
        <v>0.15970000000000001</v>
      </c>
      <c r="AR27" s="24">
        <f t="array" ref="AR27">('1100'!J27) / 100</f>
        <v>4.4999999999999998E-2</v>
      </c>
      <c r="AS27" s="24">
        <f t="array" ref="AS27">('1100'!K27) / 100</f>
        <v>0.1216</v>
      </c>
      <c r="AT27" s="25">
        <f t="array" ref="AT27">('1100'!A27) / 100</f>
        <v>0.44</v>
      </c>
      <c r="AU27" s="25">
        <f t="array" ref="AU27">('1100'!B27) / 100</f>
        <v>0.44</v>
      </c>
      <c r="AV27" s="25">
        <f t="array" ref="AV27">('1100'!C27) / 100</f>
        <v>0.39500000000000002</v>
      </c>
      <c r="AW27" s="25">
        <f t="array" ref="AW27">('1100'!D27) / 100</f>
        <v>0.36200000000000004</v>
      </c>
      <c r="AX27" s="25">
        <f t="array" ref="AX27">('1100'!E27) / 100</f>
        <v>0.44900000000000001</v>
      </c>
      <c r="AY27" s="23">
        <v>2682892</v>
      </c>
      <c r="AZ27" s="23">
        <v>2529634</v>
      </c>
      <c r="BA27" s="23">
        <v>1966456</v>
      </c>
      <c r="BB27" s="23">
        <v>1464155</v>
      </c>
      <c r="BC27" s="23">
        <v>1865499</v>
      </c>
      <c r="BD27" s="22">
        <v>1103993</v>
      </c>
      <c r="BE27" s="22">
        <v>908882</v>
      </c>
      <c r="BF27" s="22">
        <v>830094</v>
      </c>
      <c r="BG27" s="22">
        <v>548759</v>
      </c>
      <c r="BH27" s="22">
        <v>535916</v>
      </c>
      <c r="BI27" s="23">
        <v>2956421</v>
      </c>
      <c r="BJ27" s="23">
        <v>2758519</v>
      </c>
      <c r="BK27" s="23">
        <v>2491837</v>
      </c>
      <c r="BL27" s="23">
        <v>1960087</v>
      </c>
      <c r="BM27" s="23">
        <v>1868812</v>
      </c>
      <c r="BN27" s="22">
        <v>1300654</v>
      </c>
      <c r="BO27" s="22">
        <v>1213930</v>
      </c>
      <c r="BP27" s="22">
        <v>983250</v>
      </c>
      <c r="BQ27" s="22">
        <v>709857</v>
      </c>
      <c r="BR27" s="22">
        <v>839677</v>
      </c>
    </row>
    <row r="28" spans="1:70" ht="14" x14ac:dyDescent="0.2">
      <c r="A28" s="13" t="s">
        <v>133</v>
      </c>
      <c r="B28" s="14">
        <v>5566856240</v>
      </c>
      <c r="C28" s="14" t="s">
        <v>134</v>
      </c>
      <c r="D28" s="14" t="s">
        <v>67</v>
      </c>
      <c r="E28" s="15" t="s">
        <v>68</v>
      </c>
      <c r="F28" s="16">
        <v>9.9000000000000005E-2</v>
      </c>
      <c r="G28" s="16">
        <v>0.08</v>
      </c>
      <c r="H28" s="16">
        <v>0.08</v>
      </c>
      <c r="I28" s="16">
        <f>0.08</f>
        <v>0.08</v>
      </c>
      <c r="J28" s="16">
        <v>7.4999999999999997E-2</v>
      </c>
      <c r="K28" s="18">
        <v>8.5000000000000006E-2</v>
      </c>
      <c r="L28" s="18">
        <v>8.4000000000000005E-2</v>
      </c>
      <c r="M28" s="18">
        <v>2.1999999999999999E-2</v>
      </c>
      <c r="N28" s="18">
        <v>5.0000000000000001E-3</v>
      </c>
      <c r="O28" s="18">
        <v>1.7999999999999999E-2</v>
      </c>
      <c r="P28" s="19">
        <v>-2.5500000000000002E-3</v>
      </c>
      <c r="Q28" s="19">
        <v>-2.9762000000000001E-4</v>
      </c>
      <c r="R28" s="20">
        <v>0</v>
      </c>
      <c r="S28" s="19">
        <v>7.6778999999999997E-3</v>
      </c>
      <c r="T28" s="19">
        <v>3.4641400000000003E-2</v>
      </c>
      <c r="U28" s="21">
        <v>0</v>
      </c>
      <c r="V28" s="21">
        <v>0</v>
      </c>
      <c r="W28" s="21">
        <v>0</v>
      </c>
      <c r="X28" s="21">
        <v>0</v>
      </c>
      <c r="Y28" s="21">
        <v>0</v>
      </c>
      <c r="Z28" s="22">
        <v>1834</v>
      </c>
      <c r="AA28" s="22">
        <v>1754</v>
      </c>
      <c r="AB28" s="22">
        <v>1423</v>
      </c>
      <c r="AC28" s="22">
        <v>1352</v>
      </c>
      <c r="AD28" s="22">
        <v>1296</v>
      </c>
      <c r="AE28" s="23">
        <v>1252000</v>
      </c>
      <c r="AF28" s="23">
        <v>1170000</v>
      </c>
      <c r="AG28" s="23">
        <v>856000</v>
      </c>
      <c r="AH28" s="23">
        <v>636000</v>
      </c>
      <c r="AI28" s="23">
        <v>516000</v>
      </c>
      <c r="AJ28" s="22">
        <v>2.9376996805111819</v>
      </c>
      <c r="AK28" s="22">
        <v>3.4820512820512821</v>
      </c>
      <c r="AL28" s="22">
        <v>3.1799065420560746</v>
      </c>
      <c r="AM28" s="22">
        <v>3.3160377358490565</v>
      </c>
      <c r="AN28" s="22">
        <v>5.0505368217054265</v>
      </c>
      <c r="AO28" s="24">
        <f t="array" ref="AO28">('1100'!G28) / 100</f>
        <v>0.1139</v>
      </c>
      <c r="AP28" s="24">
        <f t="array" ref="AP28">('1100'!H28) / 100</f>
        <v>0.11210000000000001</v>
      </c>
      <c r="AQ28" s="24">
        <f t="array" ref="AQ28">('1100'!I28) / 100</f>
        <v>0.11310000000000001</v>
      </c>
      <c r="AR28" s="24">
        <f t="array" ref="AR28">('1100'!J28) / 100</f>
        <v>9.5700000000000007E-2</v>
      </c>
      <c r="AS28" s="24">
        <f t="array" ref="AS28">('1100'!K28) / 100</f>
        <v>8.6199999999999999E-2</v>
      </c>
      <c r="AT28" s="25">
        <f t="array" ref="AT28">('1100'!A28) / 100</f>
        <v>0.39700000000000002</v>
      </c>
      <c r="AU28" s="25">
        <f t="array" ref="AU28">('1100'!B28) / 100</f>
        <v>0.32200000000000001</v>
      </c>
      <c r="AV28" s="25">
        <f t="array" ref="AV28">('1100'!C28) / 100</f>
        <v>0.36200000000000004</v>
      </c>
      <c r="AW28" s="25">
        <f t="array" ref="AW28">('1100'!D28) / 100</f>
        <v>0.38700000000000001</v>
      </c>
      <c r="AX28" s="25">
        <f t="array" ref="AX28">('1100'!E28) / 100</f>
        <v>0.33299999999999996</v>
      </c>
      <c r="AY28" s="23">
        <v>8736000</v>
      </c>
      <c r="AZ28" s="23">
        <v>8660000</v>
      </c>
      <c r="BA28" s="23">
        <v>5915000</v>
      </c>
      <c r="BB28" s="23">
        <v>4811000</v>
      </c>
      <c r="BC28" s="23">
        <v>4387000</v>
      </c>
      <c r="BD28" s="22">
        <v>2842000</v>
      </c>
      <c r="BE28" s="22">
        <v>2857000</v>
      </c>
      <c r="BF28" s="22">
        <v>1994000</v>
      </c>
      <c r="BG28" s="22">
        <v>216000</v>
      </c>
      <c r="BH28" s="22">
        <v>1771000</v>
      </c>
      <c r="BI28" s="23">
        <v>8600000</v>
      </c>
      <c r="BJ28" s="23">
        <v>9436000</v>
      </c>
      <c r="BK28" s="23">
        <v>6573000</v>
      </c>
      <c r="BL28" s="23">
        <v>4991000</v>
      </c>
      <c r="BM28" s="23">
        <v>5250000</v>
      </c>
      <c r="BN28" s="22">
        <v>3418000</v>
      </c>
      <c r="BO28" s="22">
        <v>3036000</v>
      </c>
      <c r="BP28" s="22">
        <v>2377000</v>
      </c>
      <c r="BQ28" s="22">
        <v>1931000</v>
      </c>
      <c r="BR28" s="22">
        <v>1749000</v>
      </c>
    </row>
    <row r="29" spans="1:70" ht="15" x14ac:dyDescent="0.2">
      <c r="A29" s="26" t="s">
        <v>135</v>
      </c>
      <c r="B29" s="14">
        <v>5566563531</v>
      </c>
      <c r="C29" s="14" t="s">
        <v>136</v>
      </c>
      <c r="D29" s="14" t="s">
        <v>67</v>
      </c>
      <c r="E29" s="15" t="s">
        <v>137</v>
      </c>
      <c r="F29" s="16">
        <v>0.154</v>
      </c>
      <c r="G29" s="16">
        <v>0.105</v>
      </c>
      <c r="H29" s="16">
        <v>8.5999999999999993E-2</v>
      </c>
      <c r="I29" s="16">
        <v>8.7999999999999995E-2</v>
      </c>
      <c r="J29" s="16">
        <v>7.2999999999999995E-2</v>
      </c>
      <c r="K29" s="18">
        <v>8.5000000000000006E-2</v>
      </c>
      <c r="L29" s="18">
        <v>8.4000000000000005E-2</v>
      </c>
      <c r="M29" s="18">
        <v>2.1999999999999999E-2</v>
      </c>
      <c r="N29" s="18">
        <v>5.0000000000000001E-3</v>
      </c>
      <c r="O29" s="18">
        <v>1.7999999999999999E-2</v>
      </c>
      <c r="P29" s="19">
        <v>-2.5500000000000002E-3</v>
      </c>
      <c r="Q29" s="19">
        <v>-2.9762000000000001E-4</v>
      </c>
      <c r="R29" s="20">
        <v>0</v>
      </c>
      <c r="S29" s="19">
        <v>7.6778999999999997E-3</v>
      </c>
      <c r="T29" s="19">
        <v>3.4641400000000003E-2</v>
      </c>
      <c r="U29" s="21">
        <v>0</v>
      </c>
      <c r="V29" s="21">
        <v>0</v>
      </c>
      <c r="W29" s="21">
        <v>0</v>
      </c>
      <c r="X29" s="21">
        <v>0</v>
      </c>
      <c r="Y29" s="21">
        <v>0</v>
      </c>
      <c r="Z29" s="22">
        <v>1289</v>
      </c>
      <c r="AA29" s="22">
        <v>1387</v>
      </c>
      <c r="AB29" s="22">
        <v>1370</v>
      </c>
      <c r="AC29" s="22">
        <v>1212</v>
      </c>
      <c r="AD29" s="22">
        <v>1103</v>
      </c>
      <c r="AE29" s="23">
        <v>781000</v>
      </c>
      <c r="AF29" s="23">
        <v>1063000</v>
      </c>
      <c r="AG29" s="23">
        <v>1369000</v>
      </c>
      <c r="AH29" s="23">
        <v>1136000</v>
      </c>
      <c r="AI29" s="23">
        <v>694400</v>
      </c>
      <c r="AJ29" s="22">
        <v>3.1549295774647885</v>
      </c>
      <c r="AK29" s="22">
        <v>1.3715898400752586</v>
      </c>
      <c r="AL29" s="22">
        <v>1.5631848064280496</v>
      </c>
      <c r="AM29" s="22">
        <v>1.4339788732394365</v>
      </c>
      <c r="AN29" s="22">
        <v>2.0452188940092166</v>
      </c>
      <c r="AO29" s="24">
        <f t="array" ref="AO29">('1100'!G29) / 100</f>
        <v>2.75E-2</v>
      </c>
      <c r="AP29" s="24">
        <f t="array" ref="AP29">('1100'!H29) / 100</f>
        <v>6.7799999999999999E-2</v>
      </c>
      <c r="AQ29" s="24">
        <f t="array" ref="AQ29">('1100'!I29) / 100</f>
        <v>0.1125</v>
      </c>
      <c r="AR29" s="24">
        <f t="array" ref="AR29">('1100'!J29) / 100</f>
        <v>0.1012</v>
      </c>
      <c r="AS29" s="24">
        <f t="array" ref="AS29">('1100'!K29) / 100</f>
        <v>4.6300000000000001E-2</v>
      </c>
      <c r="AT29" s="25">
        <f t="array" ref="AT29">('1100'!A29) / 100</f>
        <v>0.38299999999999995</v>
      </c>
      <c r="AU29" s="25">
        <f t="array" ref="AU29">('1100'!B29) / 100</f>
        <v>0.36299999999999999</v>
      </c>
      <c r="AV29" s="25">
        <f t="array" ref="AV29">('1100'!C29) / 100</f>
        <v>0.371</v>
      </c>
      <c r="AW29" s="25">
        <f t="array" ref="AW29">('1100'!D29) / 100</f>
        <v>0.39899999999999997</v>
      </c>
      <c r="AX29" s="25">
        <f t="array" ref="AX29">('1100'!E29) / 100</f>
        <v>0.29799999999999999</v>
      </c>
      <c r="AY29" s="23">
        <v>6152000</v>
      </c>
      <c r="AZ29" s="23">
        <v>7298000</v>
      </c>
      <c r="BA29" s="23">
        <v>7670000</v>
      </c>
      <c r="BB29" s="23">
        <v>6827000</v>
      </c>
      <c r="BC29" s="23">
        <v>5286900</v>
      </c>
      <c r="BD29" s="22">
        <v>2015000</v>
      </c>
      <c r="BE29" s="22">
        <v>2024000</v>
      </c>
      <c r="BF29" s="22">
        <v>1963000</v>
      </c>
      <c r="BG29" s="22">
        <v>2006000</v>
      </c>
      <c r="BH29" s="22">
        <v>1808300</v>
      </c>
      <c r="BI29" s="23">
        <v>6165000</v>
      </c>
      <c r="BJ29" s="23">
        <v>6508000</v>
      </c>
      <c r="BK29" s="23">
        <v>6073000</v>
      </c>
      <c r="BL29" s="23">
        <v>4933000</v>
      </c>
      <c r="BM29" s="23">
        <v>5044500</v>
      </c>
      <c r="BN29" s="22">
        <v>2361000</v>
      </c>
      <c r="BO29" s="22">
        <v>2361000</v>
      </c>
      <c r="BP29" s="22">
        <v>2252000</v>
      </c>
      <c r="BQ29" s="22">
        <v>1968000</v>
      </c>
      <c r="BR29" s="22">
        <v>1500800</v>
      </c>
    </row>
    <row r="30" spans="1:70" ht="14" x14ac:dyDescent="0.2">
      <c r="A30" s="13" t="s">
        <v>138</v>
      </c>
      <c r="B30" s="14">
        <v>5565000998</v>
      </c>
      <c r="C30" s="14" t="s">
        <v>139</v>
      </c>
      <c r="D30" s="14" t="s">
        <v>67</v>
      </c>
      <c r="E30" s="15" t="s">
        <v>140</v>
      </c>
      <c r="F30" s="16">
        <v>0.10100000000000001</v>
      </c>
      <c r="G30" s="16">
        <v>9.4E-2</v>
      </c>
      <c r="H30" s="16">
        <f t="shared" ref="H30:J30" si="1">0.104</f>
        <v>0.104</v>
      </c>
      <c r="I30" s="16">
        <f t="shared" si="1"/>
        <v>0.104</v>
      </c>
      <c r="J30" s="16">
        <f t="shared" si="1"/>
        <v>0.104</v>
      </c>
      <c r="K30" s="18">
        <v>8.5000000000000006E-2</v>
      </c>
      <c r="L30" s="18">
        <v>8.4000000000000005E-2</v>
      </c>
      <c r="M30" s="18">
        <v>2.1999999999999999E-2</v>
      </c>
      <c r="N30" s="18">
        <v>5.0000000000000001E-3</v>
      </c>
      <c r="O30" s="18">
        <v>1.7999999999999999E-2</v>
      </c>
      <c r="P30" s="19">
        <v>-2.5500000000000002E-3</v>
      </c>
      <c r="Q30" s="19">
        <v>-2.9762000000000001E-4</v>
      </c>
      <c r="R30" s="20">
        <v>0</v>
      </c>
      <c r="S30" s="19">
        <v>7.6778999999999997E-3</v>
      </c>
      <c r="T30" s="19">
        <v>3.4641400000000003E-2</v>
      </c>
      <c r="U30" s="21">
        <v>0</v>
      </c>
      <c r="V30" s="21">
        <v>0</v>
      </c>
      <c r="W30" s="21">
        <v>0</v>
      </c>
      <c r="X30" s="21">
        <v>0</v>
      </c>
      <c r="Y30" s="21">
        <v>0</v>
      </c>
      <c r="Z30" s="22">
        <v>242</v>
      </c>
      <c r="AA30" s="22">
        <v>242</v>
      </c>
      <c r="AB30" s="22">
        <v>201</v>
      </c>
      <c r="AC30" s="22">
        <v>182</v>
      </c>
      <c r="AD30" s="22">
        <v>125</v>
      </c>
      <c r="AE30" s="23">
        <v>206814</v>
      </c>
      <c r="AF30" s="23">
        <v>194994</v>
      </c>
      <c r="AG30" s="23">
        <v>196170</v>
      </c>
      <c r="AH30" s="23">
        <v>142311</v>
      </c>
      <c r="AI30" s="23">
        <v>146731</v>
      </c>
      <c r="AJ30" s="22">
        <v>0.13859796725560164</v>
      </c>
      <c r="AK30" s="22">
        <v>0.30956849954357568</v>
      </c>
      <c r="AL30" s="22">
        <v>0.73301728092980578</v>
      </c>
      <c r="AM30" s="22">
        <v>0.91546682968990456</v>
      </c>
      <c r="AN30" s="22">
        <v>1.1004218604112288</v>
      </c>
      <c r="AO30" s="24">
        <f t="array" ref="AO30">('1100'!G30) / 100</f>
        <v>0.2576</v>
      </c>
      <c r="AP30" s="24">
        <f t="array" ref="AP30">('1100'!H30) / 100</f>
        <v>0.25629999999999997</v>
      </c>
      <c r="AQ30" s="24">
        <f t="array" ref="AQ30">('1100'!I30) / 100</f>
        <v>0.29380000000000001</v>
      </c>
      <c r="AR30" s="24">
        <f t="array" ref="AR30">('1100'!J30) / 100</f>
        <v>0.249</v>
      </c>
      <c r="AS30" s="24">
        <f t="array" ref="AS30">('1100'!K30) / 100</f>
        <v>0.28710000000000002</v>
      </c>
      <c r="AT30" s="25">
        <f t="array" ref="AT30">('1100'!A30) / 100</f>
        <v>0.77099999999999991</v>
      </c>
      <c r="AU30" s="25">
        <f t="array" ref="AU30">('1100'!B30) / 100</f>
        <v>0.72</v>
      </c>
      <c r="AV30" s="25">
        <f t="array" ref="AV30">('1100'!C30) / 100</f>
        <v>0.65799999999999992</v>
      </c>
      <c r="AW30" s="25">
        <f t="array" ref="AW30">('1100'!D30) / 100</f>
        <v>0.64300000000000002</v>
      </c>
      <c r="AX30" s="25">
        <f t="array" ref="AX30">('1100'!E30) / 100</f>
        <v>0.54299999999999993</v>
      </c>
      <c r="AY30" s="23">
        <v>677292</v>
      </c>
      <c r="AZ30" s="23">
        <v>639340</v>
      </c>
      <c r="BA30" s="23">
        <v>565552</v>
      </c>
      <c r="BB30" s="23">
        <v>471443</v>
      </c>
      <c r="BC30" s="23">
        <v>461772</v>
      </c>
      <c r="BD30" s="22">
        <v>123780</v>
      </c>
      <c r="BE30" s="22">
        <v>124141</v>
      </c>
      <c r="BF30" s="22">
        <v>114085</v>
      </c>
      <c r="BG30" s="22">
        <v>111972</v>
      </c>
      <c r="BH30" s="22">
        <v>115121</v>
      </c>
      <c r="BI30" s="23">
        <v>928712</v>
      </c>
      <c r="BJ30" s="23">
        <v>891748</v>
      </c>
      <c r="BK30" s="23">
        <v>825212</v>
      </c>
      <c r="BL30" s="23">
        <v>668025</v>
      </c>
      <c r="BM30" s="23">
        <v>641709</v>
      </c>
      <c r="BN30" s="22">
        <v>716389</v>
      </c>
      <c r="BO30" s="22">
        <v>641628</v>
      </c>
      <c r="BP30" s="22">
        <v>543280</v>
      </c>
      <c r="BQ30" s="22">
        <v>429617</v>
      </c>
      <c r="BR30" s="22">
        <v>348373</v>
      </c>
    </row>
    <row r="31" spans="1:70" ht="15" x14ac:dyDescent="0.2">
      <c r="A31" s="30" t="s">
        <v>141</v>
      </c>
      <c r="B31" s="31">
        <v>5590403217</v>
      </c>
      <c r="C31" s="31" t="s">
        <v>142</v>
      </c>
      <c r="D31" s="14" t="s">
        <v>67</v>
      </c>
      <c r="E31" s="15" t="s">
        <v>90</v>
      </c>
      <c r="F31" s="32">
        <f>0.131</f>
        <v>0.13100000000000001</v>
      </c>
      <c r="G31" s="32">
        <f>0.111</f>
        <v>0.111</v>
      </c>
      <c r="H31" s="32">
        <v>9.0999999999999998E-2</v>
      </c>
      <c r="I31" s="32">
        <f t="shared" ref="I31:J31" si="2">0.108</f>
        <v>0.108</v>
      </c>
      <c r="J31" s="32">
        <f t="shared" si="2"/>
        <v>0.108</v>
      </c>
      <c r="K31" s="18">
        <v>8.5000000000000006E-2</v>
      </c>
      <c r="L31" s="18">
        <v>8.4000000000000005E-2</v>
      </c>
      <c r="M31" s="18">
        <v>2.1999999999999999E-2</v>
      </c>
      <c r="N31" s="18">
        <v>5.0000000000000001E-3</v>
      </c>
      <c r="O31" s="18">
        <v>1.7999999999999999E-2</v>
      </c>
      <c r="P31" s="19">
        <v>-2.5500000000000002E-3</v>
      </c>
      <c r="Q31" s="19">
        <v>-2.9762000000000001E-4</v>
      </c>
      <c r="R31" s="20">
        <v>0</v>
      </c>
      <c r="S31" s="19">
        <v>7.6778999999999997E-3</v>
      </c>
      <c r="T31" s="19">
        <v>3.4641400000000003E-2</v>
      </c>
      <c r="U31" s="33">
        <f>412.213*1000</f>
        <v>412213</v>
      </c>
      <c r="V31" s="33">
        <f>340.769*1000</f>
        <v>340769</v>
      </c>
      <c r="W31" s="33">
        <v>0</v>
      </c>
      <c r="X31" s="33">
        <v>0</v>
      </c>
      <c r="Y31" s="33">
        <v>0</v>
      </c>
      <c r="Z31" s="22">
        <v>885</v>
      </c>
      <c r="AA31" s="22">
        <v>830</v>
      </c>
      <c r="AB31" s="22">
        <v>891</v>
      </c>
      <c r="AC31" s="22">
        <v>229</v>
      </c>
      <c r="AD31" s="22">
        <v>199</v>
      </c>
      <c r="AE31" s="23" t="s">
        <v>143</v>
      </c>
      <c r="AF31" s="23" t="s">
        <v>144</v>
      </c>
      <c r="AG31" s="23" t="s">
        <v>145</v>
      </c>
      <c r="AH31" s="23" t="s">
        <v>146</v>
      </c>
      <c r="AI31" s="23" t="s">
        <v>147</v>
      </c>
      <c r="AJ31" s="22">
        <v>6.0750000000000002</v>
      </c>
      <c r="AK31" s="22" t="s">
        <v>148</v>
      </c>
      <c r="AL31" s="22">
        <v>32.180999999999997</v>
      </c>
      <c r="AM31" s="22">
        <v>1.3049999999999999</v>
      </c>
      <c r="AN31" s="22">
        <v>10.14</v>
      </c>
      <c r="AO31" s="24">
        <f t="array" ref="AO31">('1100'!G31) / 100</f>
        <v>-1.68</v>
      </c>
      <c r="AP31" s="24">
        <f t="array" ref="AP31">('1100'!H31) / 100</f>
        <v>-1.2</v>
      </c>
      <c r="AQ31" s="24">
        <f t="array" ref="AQ31">('1100'!I31) / 100</f>
        <v>-6.6E-3</v>
      </c>
      <c r="AR31" s="24">
        <f t="array" ref="AR31">('1100'!J31) / 100</f>
        <v>6.4299999999999996E-2</v>
      </c>
      <c r="AS31" s="24">
        <f t="array" ref="AS31">('1100'!K31) / 100</f>
        <v>-0.01</v>
      </c>
      <c r="AT31" s="25">
        <f t="array" ref="AT31">('1100'!A31) / 100</f>
        <v>0.58499999999999996</v>
      </c>
      <c r="AU31" s="25">
        <f t="array" ref="AU31">('1100'!B31) / 100</f>
        <v>0.73599999999999999</v>
      </c>
      <c r="AV31" s="25">
        <f t="array" ref="AV31">('1100'!C31) / 100</f>
        <v>0.79099999999999993</v>
      </c>
      <c r="AW31" s="25">
        <f t="array" ref="AW31">('1100'!D31) / 100</f>
        <v>0.69700000000000006</v>
      </c>
      <c r="AX31" s="25">
        <f t="array" ref="AX31">('1100'!E31) / 100</f>
        <v>0.55899999999999994</v>
      </c>
      <c r="AY31" s="23">
        <v>3161972</v>
      </c>
      <c r="AZ31" s="23">
        <v>3465987</v>
      </c>
      <c r="BA31" s="23">
        <v>1533240</v>
      </c>
      <c r="BB31" s="23">
        <v>1050200</v>
      </c>
      <c r="BC31" s="23">
        <v>838758</v>
      </c>
      <c r="BD31" s="22">
        <v>1726083</v>
      </c>
      <c r="BE31" s="22">
        <v>6670055</v>
      </c>
      <c r="BF31" s="22">
        <v>9280734</v>
      </c>
      <c r="BG31" s="22">
        <v>1010594</v>
      </c>
      <c r="BH31" s="22">
        <v>1053369</v>
      </c>
      <c r="BI31" s="23">
        <v>6945375</v>
      </c>
      <c r="BJ31" s="23">
        <v>12851240</v>
      </c>
      <c r="BK31" s="23">
        <v>14880340</v>
      </c>
      <c r="BL31" s="23">
        <v>2003890</v>
      </c>
      <c r="BM31" s="23">
        <v>2010770</v>
      </c>
      <c r="BN31" s="22">
        <v>4060848</v>
      </c>
      <c r="BO31" s="22">
        <v>9453619</v>
      </c>
      <c r="BP31" s="22">
        <v>11766576</v>
      </c>
      <c r="BQ31" s="22">
        <v>1396403</v>
      </c>
      <c r="BR31" s="22">
        <v>1123484</v>
      </c>
    </row>
    <row r="32" spans="1:70" ht="15" x14ac:dyDescent="0.2">
      <c r="A32" s="26" t="s">
        <v>149</v>
      </c>
      <c r="B32" s="14">
        <v>5563088144</v>
      </c>
      <c r="C32" s="14" t="s">
        <v>150</v>
      </c>
      <c r="D32" s="14" t="s">
        <v>67</v>
      </c>
      <c r="E32" s="15" t="s">
        <v>68</v>
      </c>
      <c r="F32" s="16">
        <v>0.108</v>
      </c>
      <c r="G32" s="16">
        <v>0.11</v>
      </c>
      <c r="H32" s="16">
        <v>6.7000000000000004E-2</v>
      </c>
      <c r="I32" s="16">
        <v>6.5000000000000002E-2</v>
      </c>
      <c r="J32" s="16">
        <v>7.1999999999999995E-2</v>
      </c>
      <c r="K32" s="18">
        <v>8.5000000000000006E-2</v>
      </c>
      <c r="L32" s="18">
        <v>8.4000000000000005E-2</v>
      </c>
      <c r="M32" s="18">
        <v>2.1999999999999999E-2</v>
      </c>
      <c r="N32" s="18">
        <v>5.0000000000000001E-3</v>
      </c>
      <c r="O32" s="18">
        <v>1.7999999999999999E-2</v>
      </c>
      <c r="P32" s="19">
        <v>-2.5500000000000002E-3</v>
      </c>
      <c r="Q32" s="19">
        <v>-2.9762000000000001E-4</v>
      </c>
      <c r="R32" s="20">
        <v>0</v>
      </c>
      <c r="S32" s="19">
        <v>7.6778999999999997E-3</v>
      </c>
      <c r="T32" s="19">
        <v>3.4641400000000003E-2</v>
      </c>
      <c r="U32" s="21">
        <v>0</v>
      </c>
      <c r="V32" s="21">
        <v>0</v>
      </c>
      <c r="W32" s="21">
        <v>0</v>
      </c>
      <c r="X32" s="21">
        <v>0</v>
      </c>
      <c r="Y32" s="21">
        <v>0</v>
      </c>
      <c r="Z32" s="22">
        <v>2582</v>
      </c>
      <c r="AA32" s="22">
        <v>2598</v>
      </c>
      <c r="AB32" s="22">
        <v>2599</v>
      </c>
      <c r="AC32" s="22">
        <v>2653</v>
      </c>
      <c r="AD32" s="22">
        <v>2629</v>
      </c>
      <c r="AE32" s="23">
        <v>1030000</v>
      </c>
      <c r="AF32" s="23">
        <v>728000</v>
      </c>
      <c r="AG32" s="23">
        <v>825000</v>
      </c>
      <c r="AH32" s="23">
        <v>737000</v>
      </c>
      <c r="AI32" s="23">
        <v>1028000</v>
      </c>
      <c r="AJ32" s="22">
        <v>3.4504854368932039</v>
      </c>
      <c r="AK32" s="22">
        <v>3.1277472527472527</v>
      </c>
      <c r="AL32" s="22">
        <v>2.6206060606060606</v>
      </c>
      <c r="AM32" s="22">
        <v>0.15061058344640435</v>
      </c>
      <c r="AN32" s="22">
        <v>1.6974708171206225</v>
      </c>
      <c r="AO32" s="24">
        <f t="array" ref="AO32">('1100'!G32) / 100</f>
        <v>0.10400000000000001</v>
      </c>
      <c r="AP32" s="24">
        <f t="array" ref="AP32">('1100'!H32) / 100</f>
        <v>7.9899999999999999E-2</v>
      </c>
      <c r="AQ32" s="24">
        <f t="array" ref="AQ32">('1100'!I32) / 100</f>
        <v>0.10039999999999999</v>
      </c>
      <c r="AR32" s="24">
        <f t="array" ref="AR32">('1100'!J32) / 100</f>
        <v>8.1699999999999995E-2</v>
      </c>
      <c r="AS32" s="24">
        <f t="array" ref="AS32">('1100'!K32) / 100</f>
        <v>0.11230000000000001</v>
      </c>
      <c r="AT32" s="25">
        <f t="array" ref="AT32">('1100'!A32) / 100</f>
        <v>0.47700000000000004</v>
      </c>
      <c r="AU32" s="25">
        <f t="array" ref="AU32">('1100'!B32) / 100</f>
        <v>0.48399999999999999</v>
      </c>
      <c r="AV32" s="25">
        <f t="array" ref="AV32">('1100'!C32) / 100</f>
        <v>0.47299999999999998</v>
      </c>
      <c r="AW32" s="25">
        <f t="array" ref="AW32">('1100'!D32) / 100</f>
        <v>0.45100000000000001</v>
      </c>
      <c r="AX32" s="25">
        <f t="array" ref="AX32">('1100'!E32) / 100</f>
        <v>0.434</v>
      </c>
      <c r="AY32" s="23">
        <v>8301000</v>
      </c>
      <c r="AZ32" s="23">
        <v>6869000</v>
      </c>
      <c r="BA32" s="23">
        <v>6046000</v>
      </c>
      <c r="BB32" s="23">
        <v>5695000</v>
      </c>
      <c r="BC32" s="23">
        <v>6493000</v>
      </c>
      <c r="BD32" s="22">
        <v>2565000</v>
      </c>
      <c r="BE32" s="22">
        <v>2570000</v>
      </c>
      <c r="BF32" s="22">
        <v>2391000</v>
      </c>
      <c r="BG32" s="22">
        <v>2347000</v>
      </c>
      <c r="BH32" s="22">
        <v>2400000</v>
      </c>
      <c r="BI32" s="23">
        <v>10683000</v>
      </c>
      <c r="BJ32" s="23">
        <v>10316000</v>
      </c>
      <c r="BK32" s="23">
        <v>9549000</v>
      </c>
      <c r="BL32" s="23">
        <v>9257000</v>
      </c>
      <c r="BM32" s="23">
        <v>9660000</v>
      </c>
      <c r="BN32" s="22">
        <v>5098000</v>
      </c>
      <c r="BO32" s="22">
        <v>4994000</v>
      </c>
      <c r="BP32" s="22">
        <v>4515000</v>
      </c>
      <c r="BQ32" s="22">
        <v>4179000</v>
      </c>
      <c r="BR32" s="22">
        <v>4197000</v>
      </c>
    </row>
    <row r="33" spans="1:70" ht="15" x14ac:dyDescent="0.2">
      <c r="A33" s="26" t="s">
        <v>151</v>
      </c>
      <c r="B33" s="14">
        <v>5568284995</v>
      </c>
      <c r="C33" s="14" t="s">
        <v>152</v>
      </c>
      <c r="D33" s="14" t="s">
        <v>67</v>
      </c>
      <c r="E33" s="15" t="s">
        <v>90</v>
      </c>
      <c r="F33" s="16">
        <v>0.1</v>
      </c>
      <c r="G33" s="16">
        <v>9.7000000000000003E-2</v>
      </c>
      <c r="H33" s="16">
        <v>7.5999999999999998E-2</v>
      </c>
      <c r="I33" s="16">
        <v>5.6000000000000001E-2</v>
      </c>
      <c r="J33" s="16">
        <f>0.07</f>
        <v>7.0000000000000007E-2</v>
      </c>
      <c r="K33" s="18">
        <v>8.5000000000000006E-2</v>
      </c>
      <c r="L33" s="18">
        <v>8.4000000000000005E-2</v>
      </c>
      <c r="M33" s="18">
        <v>2.1999999999999999E-2</v>
      </c>
      <c r="N33" s="18">
        <v>5.0000000000000001E-3</v>
      </c>
      <c r="O33" s="18">
        <v>1.7999999999999999E-2</v>
      </c>
      <c r="P33" s="19">
        <v>-2.5500000000000002E-3</v>
      </c>
      <c r="Q33" s="19">
        <v>-2.9762000000000001E-4</v>
      </c>
      <c r="R33" s="20">
        <v>0</v>
      </c>
      <c r="S33" s="19">
        <v>7.6778999999999997E-3</v>
      </c>
      <c r="T33" s="19">
        <v>3.4641400000000003E-2</v>
      </c>
      <c r="U33" s="21">
        <v>0</v>
      </c>
      <c r="V33" s="21">
        <v>0</v>
      </c>
      <c r="W33" s="21">
        <v>0</v>
      </c>
      <c r="X33" s="21">
        <v>0</v>
      </c>
      <c r="Y33" s="21">
        <v>0</v>
      </c>
      <c r="Z33" s="22">
        <v>1282</v>
      </c>
      <c r="AA33" s="22">
        <v>1207</v>
      </c>
      <c r="AB33" s="22">
        <v>817</v>
      </c>
      <c r="AC33" s="22">
        <v>641</v>
      </c>
      <c r="AD33" s="22">
        <v>844</v>
      </c>
      <c r="AE33" s="23">
        <v>786000</v>
      </c>
      <c r="AF33" s="23">
        <v>865000</v>
      </c>
      <c r="AG33" s="23">
        <v>499000</v>
      </c>
      <c r="AH33" s="23">
        <v>362000</v>
      </c>
      <c r="AI33" s="23">
        <v>571000</v>
      </c>
      <c r="AJ33" s="22">
        <v>1.3231552162849873</v>
      </c>
      <c r="AK33" s="22">
        <v>1.4809248554913295</v>
      </c>
      <c r="AL33" s="22">
        <v>2.7835671342685369</v>
      </c>
      <c r="AM33" s="22">
        <v>1.6298342541436464</v>
      </c>
      <c r="AN33" s="22">
        <v>1.0262697022767076</v>
      </c>
      <c r="AO33" s="24">
        <f t="array" ref="AO33">('1100'!G33) / 100</f>
        <v>0.14599999999999999</v>
      </c>
      <c r="AP33" s="24">
        <f t="array" ref="AP33">('1100'!H33) / 100</f>
        <v>0.1711</v>
      </c>
      <c r="AQ33" s="24">
        <f t="array" ref="AQ33">('1100'!I33) / 100</f>
        <v>0.19239999999999999</v>
      </c>
      <c r="AR33" s="24">
        <f t="array" ref="AR33">('1100'!J33) / 100</f>
        <v>0.18510000000000001</v>
      </c>
      <c r="AS33" s="24">
        <f t="array" ref="AS33">('1100'!K33) / 100</f>
        <v>0.23910000000000001</v>
      </c>
      <c r="AT33" s="25">
        <f t="array" ref="AT33">('1100'!A33) / 100</f>
        <v>0.50700000000000001</v>
      </c>
      <c r="AU33" s="25">
        <f t="array" ref="AU33">('1100'!B33) / 100</f>
        <v>0.46100000000000002</v>
      </c>
      <c r="AV33" s="25">
        <f t="array" ref="AV33">('1100'!C33) / 100</f>
        <v>0.38600000000000001</v>
      </c>
      <c r="AW33" s="25">
        <f t="array" ref="AW33">('1100'!D33) / 100</f>
        <v>0.52100000000000002</v>
      </c>
      <c r="AX33" s="25">
        <f t="array" ref="AX33">('1100'!E33) / 100</f>
        <v>0.53600000000000003</v>
      </c>
      <c r="AY33" s="23">
        <v>4324000</v>
      </c>
      <c r="AZ33" s="23">
        <v>4160000</v>
      </c>
      <c r="BA33" s="23">
        <v>2236000</v>
      </c>
      <c r="BB33" s="23">
        <v>1583000</v>
      </c>
      <c r="BC33" s="23">
        <v>2106000</v>
      </c>
      <c r="BD33" s="22">
        <v>1422000</v>
      </c>
      <c r="BE33" s="22">
        <v>1455000</v>
      </c>
      <c r="BF33" s="22">
        <v>1303000</v>
      </c>
      <c r="BG33" s="22">
        <v>649000</v>
      </c>
      <c r="BH33" s="22">
        <v>656000</v>
      </c>
      <c r="BI33" s="23">
        <v>4306000</v>
      </c>
      <c r="BJ33" s="23">
        <v>4495000</v>
      </c>
      <c r="BK33" s="23">
        <v>3783000</v>
      </c>
      <c r="BL33" s="23">
        <v>2047000</v>
      </c>
      <c r="BM33" s="23">
        <v>2119000</v>
      </c>
      <c r="BN33" s="22">
        <v>2181000</v>
      </c>
      <c r="BO33" s="22">
        <v>2070000</v>
      </c>
      <c r="BP33" s="22">
        <v>1462000</v>
      </c>
      <c r="BQ33" s="22">
        <v>1067000</v>
      </c>
      <c r="BR33" s="22">
        <v>1136000</v>
      </c>
    </row>
    <row r="34" spans="1:70" ht="14" x14ac:dyDescent="0.2">
      <c r="A34" s="13" t="s">
        <v>153</v>
      </c>
      <c r="B34" s="14">
        <v>5568294390</v>
      </c>
      <c r="C34" s="14" t="s">
        <v>154</v>
      </c>
      <c r="D34" s="14" t="s">
        <v>67</v>
      </c>
      <c r="E34" s="15" t="s">
        <v>68</v>
      </c>
      <c r="F34" s="16">
        <v>9.6000000000000002E-2</v>
      </c>
      <c r="G34" s="16">
        <v>0.12720000000000001</v>
      </c>
      <c r="H34" s="16">
        <v>8.1600000000000006E-2</v>
      </c>
      <c r="I34" s="16">
        <v>8.4099999999999994E-2</v>
      </c>
      <c r="J34" s="16">
        <v>9.4200000000000006E-2</v>
      </c>
      <c r="K34" s="18">
        <v>8.5000000000000006E-2</v>
      </c>
      <c r="L34" s="18">
        <v>8.4000000000000005E-2</v>
      </c>
      <c r="M34" s="18">
        <v>2.1999999999999999E-2</v>
      </c>
      <c r="N34" s="18">
        <v>5.0000000000000001E-3</v>
      </c>
      <c r="O34" s="18">
        <v>1.7999999999999999E-2</v>
      </c>
      <c r="P34" s="19">
        <v>-2.5500000000000002E-3</v>
      </c>
      <c r="Q34" s="19">
        <v>-2.9762000000000001E-4</v>
      </c>
      <c r="R34" s="20">
        <v>0</v>
      </c>
      <c r="S34" s="19">
        <v>7.6778999999999997E-3</v>
      </c>
      <c r="T34" s="19">
        <v>3.4641400000000003E-2</v>
      </c>
      <c r="U34" s="21">
        <v>0</v>
      </c>
      <c r="V34" s="21">
        <v>0</v>
      </c>
      <c r="W34" s="21">
        <v>0</v>
      </c>
      <c r="X34" s="21">
        <v>0</v>
      </c>
      <c r="Y34" s="21">
        <v>0</v>
      </c>
      <c r="Z34" s="22">
        <v>8093</v>
      </c>
      <c r="AA34" s="22">
        <v>8834</v>
      </c>
      <c r="AB34" s="22">
        <v>7650</v>
      </c>
      <c r="AC34" s="22">
        <v>6868</v>
      </c>
      <c r="AD34" s="22">
        <v>7257</v>
      </c>
      <c r="AE34" s="23">
        <v>3297000</v>
      </c>
      <c r="AF34" s="23">
        <v>4057000</v>
      </c>
      <c r="AG34" s="23">
        <v>3775000</v>
      </c>
      <c r="AH34" s="23">
        <v>2489000</v>
      </c>
      <c r="AI34" s="23">
        <v>2952000</v>
      </c>
      <c r="AJ34" s="22">
        <v>7.3773127085228998</v>
      </c>
      <c r="AK34" s="22">
        <v>5.5671678580231703</v>
      </c>
      <c r="AL34" s="22">
        <v>6.0164238410596029</v>
      </c>
      <c r="AM34" s="22">
        <v>6.6376054640417834</v>
      </c>
      <c r="AN34" s="22">
        <v>5.3665311653116534</v>
      </c>
      <c r="AO34" s="24">
        <f t="array" ref="AO34">('1100'!G34) / 100</f>
        <v>0.1026</v>
      </c>
      <c r="AP34" s="24">
        <f t="array" ref="AP34">('1100'!H34) / 100</f>
        <v>0.10279999999999999</v>
      </c>
      <c r="AQ34" s="24">
        <f t="array" ref="AQ34">('1100'!I34) / 100</f>
        <v>0.1333</v>
      </c>
      <c r="AR34" s="24">
        <f t="array" ref="AR34">('1100'!J34) / 100</f>
        <v>0.1164</v>
      </c>
      <c r="AS34" s="24">
        <f t="array" ref="AS34">('1100'!K34) / 100</f>
        <v>0.12809999999999999</v>
      </c>
      <c r="AT34" s="25">
        <f t="array" ref="AT34">('1100'!A34) / 100</f>
        <v>0.48</v>
      </c>
      <c r="AU34" s="25">
        <f t="array" ref="AU34">('1100'!B34) / 100</f>
        <v>0.46</v>
      </c>
      <c r="AV34" s="25">
        <f t="array" ref="AV34">('1100'!C34) / 100</f>
        <v>0.43099999999999999</v>
      </c>
      <c r="AW34" s="25">
        <f t="array" ref="AW34">('1100'!D34) / 100</f>
        <v>0.43099999999999999</v>
      </c>
      <c r="AX34" s="25">
        <f t="array" ref="AX34">('1100'!E34) / 100</f>
        <v>0.47299999999999998</v>
      </c>
      <c r="AY34" s="23">
        <v>27775000</v>
      </c>
      <c r="AZ34" s="23">
        <v>29908000</v>
      </c>
      <c r="BA34" s="23">
        <v>21594000</v>
      </c>
      <c r="BB34" s="23">
        <v>16271000</v>
      </c>
      <c r="BC34" s="23">
        <v>18571000</v>
      </c>
      <c r="BD34" s="22">
        <v>21267</v>
      </c>
      <c r="BE34" s="22">
        <v>22086000</v>
      </c>
      <c r="BF34" s="22">
        <v>20503000</v>
      </c>
      <c r="BG34" s="22">
        <v>13545000</v>
      </c>
      <c r="BH34" s="22">
        <v>14832000</v>
      </c>
      <c r="BI34" s="23">
        <v>54119000</v>
      </c>
      <c r="BJ34" s="23">
        <v>57451000</v>
      </c>
      <c r="BK34" s="23">
        <v>52030000</v>
      </c>
      <c r="BL34" s="23">
        <v>37615000</v>
      </c>
      <c r="BM34" s="23">
        <v>36681000</v>
      </c>
      <c r="BN34" s="22">
        <v>25992000</v>
      </c>
      <c r="BO34" s="22">
        <v>26415000</v>
      </c>
      <c r="BP34" s="22">
        <v>22447000</v>
      </c>
      <c r="BQ34" s="22">
        <v>16201000</v>
      </c>
      <c r="BR34" s="22">
        <v>17363000</v>
      </c>
    </row>
    <row r="35" spans="1:70" ht="15" x14ac:dyDescent="0.2">
      <c r="A35" s="13" t="s">
        <v>155</v>
      </c>
      <c r="B35" s="14">
        <v>5565367488</v>
      </c>
      <c r="C35" s="14" t="s">
        <v>156</v>
      </c>
      <c r="D35" s="14" t="s">
        <v>67</v>
      </c>
      <c r="E35" s="15" t="s">
        <v>114</v>
      </c>
      <c r="F35" s="16">
        <v>0.125</v>
      </c>
      <c r="G35" s="16">
        <v>0.11600000000000001</v>
      </c>
      <c r="H35" s="16">
        <v>9.7000000000000003E-2</v>
      </c>
      <c r="I35" s="16">
        <v>9.4E-2</v>
      </c>
      <c r="J35" s="16">
        <v>7.9000000000000001E-2</v>
      </c>
      <c r="K35" s="18">
        <v>8.5000000000000006E-2</v>
      </c>
      <c r="L35" s="18">
        <v>8.4000000000000005E-2</v>
      </c>
      <c r="M35" s="18">
        <v>2.1999999999999999E-2</v>
      </c>
      <c r="N35" s="18">
        <v>5.0000000000000001E-3</v>
      </c>
      <c r="O35" s="18">
        <v>1.7999999999999999E-2</v>
      </c>
      <c r="P35" s="19">
        <v>-2.5500000000000002E-3</v>
      </c>
      <c r="Q35" s="19">
        <v>-2.9762000000000001E-4</v>
      </c>
      <c r="R35" s="20">
        <v>0</v>
      </c>
      <c r="S35" s="19">
        <v>7.6778999999999997E-3</v>
      </c>
      <c r="T35" s="19">
        <v>3.4641400000000003E-2</v>
      </c>
      <c r="U35" s="34">
        <v>0</v>
      </c>
      <c r="V35" s="34">
        <v>0</v>
      </c>
      <c r="W35" s="34">
        <f>21*1000</f>
        <v>21000</v>
      </c>
      <c r="X35" s="34">
        <v>0</v>
      </c>
      <c r="Y35" s="34">
        <f>58*1000</f>
        <v>58000</v>
      </c>
      <c r="Z35" s="22">
        <v>2373</v>
      </c>
      <c r="AA35" s="22">
        <v>2402</v>
      </c>
      <c r="AB35" s="22">
        <v>2442</v>
      </c>
      <c r="AC35" s="22">
        <v>2450</v>
      </c>
      <c r="AD35" s="22">
        <v>2476</v>
      </c>
      <c r="AE35" s="23">
        <v>923000</v>
      </c>
      <c r="AF35" s="23">
        <v>604000</v>
      </c>
      <c r="AG35" s="23">
        <v>444000</v>
      </c>
      <c r="AH35" s="23">
        <v>358000</v>
      </c>
      <c r="AI35" s="23">
        <v>701000</v>
      </c>
      <c r="AJ35" s="22">
        <v>1.1213434452871072</v>
      </c>
      <c r="AK35" s="22">
        <v>2.5182119205298013</v>
      </c>
      <c r="AL35" s="22">
        <v>4.6711711711711708</v>
      </c>
      <c r="AM35" s="22">
        <v>5.3156424581005588</v>
      </c>
      <c r="AN35" s="22">
        <v>3.3338088445078458</v>
      </c>
      <c r="AO35" s="24">
        <f t="array" ref="AO35">('1100'!G35) / 100</f>
        <v>8.8499999999999995E-2</v>
      </c>
      <c r="AP35" s="24">
        <f t="array" ref="AP35">('1100'!H35) / 100</f>
        <v>4.87E-2</v>
      </c>
      <c r="AQ35" s="24">
        <f t="array" ref="AQ35">('1100'!I35) / 100</f>
        <v>3.4200000000000001E-2</v>
      </c>
      <c r="AR35" s="24">
        <f t="array" ref="AR35">('1100'!J35) / 100</f>
        <v>1.6E-2</v>
      </c>
      <c r="AS35" s="24">
        <f t="array" ref="AS35">('1100'!K35) / 100</f>
        <v>7.3899999999999993E-2</v>
      </c>
      <c r="AT35" s="25">
        <f t="array" ref="AT35">('1100'!A35) / 100</f>
        <v>0.495</v>
      </c>
      <c r="AU35" s="25">
        <f t="array" ref="AU35">('1100'!B35) / 100</f>
        <v>0.43799999999999994</v>
      </c>
      <c r="AV35" s="25">
        <f t="array" ref="AV35">('1100'!C35) / 100</f>
        <v>0.41100000000000003</v>
      </c>
      <c r="AW35" s="25">
        <f t="array" ref="AW35">('1100'!D35) / 100</f>
        <v>0.44</v>
      </c>
      <c r="AX35" s="25">
        <f t="array" ref="AX35">('1100'!E35) / 100</f>
        <v>0.41</v>
      </c>
      <c r="AY35" s="23">
        <v>7764000</v>
      </c>
      <c r="AZ35" s="23">
        <v>7056000</v>
      </c>
      <c r="BA35" s="23">
        <v>5195000</v>
      </c>
      <c r="BB35" s="23">
        <v>4622000</v>
      </c>
      <c r="BC35" s="23">
        <v>5571000</v>
      </c>
      <c r="BD35" s="22">
        <v>2110000</v>
      </c>
      <c r="BE35" s="22">
        <v>2136000</v>
      </c>
      <c r="BF35" s="22">
        <v>2010000</v>
      </c>
      <c r="BG35" s="22">
        <v>2011000</v>
      </c>
      <c r="BH35" s="22">
        <v>2054000</v>
      </c>
      <c r="BI35" s="23">
        <v>6913000</v>
      </c>
      <c r="BJ35" s="23">
        <v>7339000</v>
      </c>
      <c r="BK35" s="23">
        <v>6396000</v>
      </c>
      <c r="BL35" s="23">
        <v>5780000</v>
      </c>
      <c r="BM35" s="23">
        <v>6245000</v>
      </c>
      <c r="BN35" s="22">
        <v>3422000</v>
      </c>
      <c r="BO35" s="22">
        <v>3211000</v>
      </c>
      <c r="BP35" s="22">
        <v>2628000</v>
      </c>
      <c r="BQ35" s="22">
        <v>2542000</v>
      </c>
      <c r="BR35" s="22">
        <v>2563000</v>
      </c>
    </row>
    <row r="36" spans="1:70" ht="14" x14ac:dyDescent="0.2">
      <c r="A36" s="13" t="s">
        <v>157</v>
      </c>
      <c r="B36" s="14">
        <v>5567033062</v>
      </c>
      <c r="C36" s="14" t="s">
        <v>158</v>
      </c>
      <c r="D36" s="14" t="s">
        <v>67</v>
      </c>
      <c r="E36" s="15" t="s">
        <v>159</v>
      </c>
      <c r="F36" s="16">
        <f t="shared" ref="F36:G36" si="3">0.089</f>
        <v>8.8999999999999996E-2</v>
      </c>
      <c r="G36" s="16">
        <f t="shared" si="3"/>
        <v>8.8999999999999996E-2</v>
      </c>
      <c r="H36" s="16">
        <f>0.085</f>
        <v>8.5000000000000006E-2</v>
      </c>
      <c r="I36" s="16">
        <f t="shared" ref="I36:J36" si="4">0.082</f>
        <v>8.2000000000000003E-2</v>
      </c>
      <c r="J36" s="16">
        <f t="shared" si="4"/>
        <v>8.2000000000000003E-2</v>
      </c>
      <c r="K36" s="18">
        <v>8.5000000000000006E-2</v>
      </c>
      <c r="L36" s="18">
        <v>8.4000000000000005E-2</v>
      </c>
      <c r="M36" s="18">
        <v>2.1999999999999999E-2</v>
      </c>
      <c r="N36" s="18">
        <v>5.0000000000000001E-3</v>
      </c>
      <c r="O36" s="18">
        <v>1.7999999999999999E-2</v>
      </c>
      <c r="P36" s="19">
        <v>-2.5500000000000002E-3</v>
      </c>
      <c r="Q36" s="19">
        <v>-2.9762000000000001E-4</v>
      </c>
      <c r="R36" s="20">
        <v>0</v>
      </c>
      <c r="S36" s="19">
        <v>7.6778999999999997E-3</v>
      </c>
      <c r="T36" s="19">
        <v>3.4641400000000003E-2</v>
      </c>
      <c r="U36" s="21">
        <v>0</v>
      </c>
      <c r="V36" s="21">
        <v>0</v>
      </c>
      <c r="W36" s="21">
        <v>0</v>
      </c>
      <c r="X36" s="21">
        <v>0</v>
      </c>
      <c r="Y36" s="21">
        <v>0</v>
      </c>
      <c r="Z36" s="22">
        <v>2409</v>
      </c>
      <c r="AA36" s="22">
        <v>2424</v>
      </c>
      <c r="AB36" s="22">
        <v>1858</v>
      </c>
      <c r="AC36" s="22">
        <v>1700</v>
      </c>
      <c r="AD36" s="22">
        <v>1644</v>
      </c>
      <c r="AE36" s="23">
        <v>885200</v>
      </c>
      <c r="AF36" s="23">
        <v>1165200</v>
      </c>
      <c r="AG36" s="23">
        <v>897300</v>
      </c>
      <c r="AH36" s="23">
        <v>684100</v>
      </c>
      <c r="AI36" s="23">
        <v>604700</v>
      </c>
      <c r="AJ36" s="22">
        <v>6.905558065973791</v>
      </c>
      <c r="AK36" s="22">
        <v>4.6637487126673536</v>
      </c>
      <c r="AL36" s="22">
        <v>5.7362086258776328</v>
      </c>
      <c r="AM36" s="22">
        <v>4.034205525507967</v>
      </c>
      <c r="AN36" s="22">
        <v>3.7469819745328263</v>
      </c>
      <c r="AO36" s="24">
        <f t="array" ref="AO36">('1100'!G36) / 100</f>
        <v>2.0199999999999999E-2</v>
      </c>
      <c r="AP36" s="24">
        <f t="array" ref="AP36">('1100'!H36) / 100</f>
        <v>3.2199999999999999E-2</v>
      </c>
      <c r="AQ36" s="24">
        <f t="array" ref="AQ36">('1100'!I36) / 100</f>
        <v>3.6400000000000002E-2</v>
      </c>
      <c r="AR36" s="24">
        <f t="array" ref="AR36">('1100'!J36) / 100</f>
        <v>2.9500000000000002E-2</v>
      </c>
      <c r="AS36" s="24">
        <f t="array" ref="AS36">('1100'!K36) / 100</f>
        <v>3.9100000000000003E-2</v>
      </c>
      <c r="AT36" s="25">
        <f t="array" ref="AT36">('1100'!A36) / 100</f>
        <v>0.33399999999999996</v>
      </c>
      <c r="AU36" s="25">
        <f t="array" ref="AU36">('1100'!B36) / 100</f>
        <v>0.32100000000000001</v>
      </c>
      <c r="AV36" s="25">
        <f t="array" ref="AV36">('1100'!C36) / 100</f>
        <v>0.32700000000000001</v>
      </c>
      <c r="AW36" s="25">
        <f t="array" ref="AW36">('1100'!D36) / 100</f>
        <v>0.316</v>
      </c>
      <c r="AX36" s="25">
        <f t="array" ref="AX36">('1100'!E36) / 100</f>
        <v>0.33799999999999997</v>
      </c>
      <c r="AY36" s="23">
        <v>23623900</v>
      </c>
      <c r="AZ36" s="23">
        <v>23621400</v>
      </c>
      <c r="BA36" s="23">
        <v>15891700</v>
      </c>
      <c r="BB36" s="23">
        <v>13209900</v>
      </c>
      <c r="BC36" s="23">
        <v>12543300</v>
      </c>
      <c r="BD36" s="22">
        <v>8746300</v>
      </c>
      <c r="BE36" s="22">
        <v>8097000</v>
      </c>
      <c r="BF36" s="22">
        <v>7752700</v>
      </c>
      <c r="BG36" s="22">
        <v>3706500</v>
      </c>
      <c r="BH36" s="22">
        <v>3839800</v>
      </c>
      <c r="BI36" s="23">
        <v>16133100</v>
      </c>
      <c r="BJ36" s="23">
        <v>15854900</v>
      </c>
      <c r="BK36" s="23">
        <v>14317200</v>
      </c>
      <c r="BL36" s="23">
        <v>7776100</v>
      </c>
      <c r="BM36" s="23">
        <v>7268300</v>
      </c>
      <c r="BN36" s="22">
        <v>5394300</v>
      </c>
      <c r="BO36" s="22">
        <v>5085100</v>
      </c>
      <c r="BP36" s="22">
        <v>4676400</v>
      </c>
      <c r="BQ36" s="22">
        <v>2455600</v>
      </c>
      <c r="BR36" s="22">
        <v>2460300</v>
      </c>
    </row>
    <row r="37" spans="1:70" ht="14" x14ac:dyDescent="0.2">
      <c r="A37" s="13" t="s">
        <v>160</v>
      </c>
      <c r="B37" s="14">
        <v>5560081621</v>
      </c>
      <c r="C37" s="14" t="s">
        <v>161</v>
      </c>
      <c r="D37" s="14" t="s">
        <v>67</v>
      </c>
      <c r="E37" s="15" t="s">
        <v>68</v>
      </c>
      <c r="F37" s="16">
        <f>0.083</f>
        <v>8.3000000000000004E-2</v>
      </c>
      <c r="G37" s="16">
        <f>0.075</f>
        <v>7.4999999999999997E-2</v>
      </c>
      <c r="H37" s="16">
        <f>0.071</f>
        <v>7.0999999999999994E-2</v>
      </c>
      <c r="I37" s="16">
        <f t="shared" ref="I37:J37" si="5">0.083</f>
        <v>8.3000000000000004E-2</v>
      </c>
      <c r="J37" s="16">
        <f t="shared" si="5"/>
        <v>8.3000000000000004E-2</v>
      </c>
      <c r="K37" s="18">
        <v>8.5000000000000006E-2</v>
      </c>
      <c r="L37" s="18">
        <v>8.4000000000000005E-2</v>
      </c>
      <c r="M37" s="18">
        <v>2.1999999999999999E-2</v>
      </c>
      <c r="N37" s="18">
        <v>5.0000000000000001E-3</v>
      </c>
      <c r="O37" s="18">
        <v>1.7999999999999999E-2</v>
      </c>
      <c r="P37" s="19">
        <v>-2.5500000000000002E-3</v>
      </c>
      <c r="Q37" s="19">
        <v>-2.9762000000000001E-4</v>
      </c>
      <c r="R37" s="20">
        <v>0</v>
      </c>
      <c r="S37" s="19">
        <v>7.6778999999999997E-3</v>
      </c>
      <c r="T37" s="19">
        <v>3.4641400000000003E-2</v>
      </c>
      <c r="U37" s="21">
        <v>0</v>
      </c>
      <c r="V37" s="21">
        <v>0</v>
      </c>
      <c r="W37" s="21">
        <v>0</v>
      </c>
      <c r="X37" s="21">
        <v>0</v>
      </c>
      <c r="Y37" s="21">
        <v>0</v>
      </c>
      <c r="Z37" s="22">
        <v>7203</v>
      </c>
      <c r="AA37" s="22">
        <v>2873</v>
      </c>
      <c r="AB37" s="22">
        <v>2256</v>
      </c>
      <c r="AC37" s="22">
        <v>6260</v>
      </c>
      <c r="AD37" s="22">
        <v>6696</v>
      </c>
      <c r="AE37" s="23">
        <v>1967500</v>
      </c>
      <c r="AF37" s="23">
        <v>1237130</v>
      </c>
      <c r="AG37" s="23">
        <v>1468400</v>
      </c>
      <c r="AH37" s="23">
        <v>1430800</v>
      </c>
      <c r="AI37" s="23">
        <v>660700</v>
      </c>
      <c r="AJ37" s="22">
        <v>4.0837611181702664</v>
      </c>
      <c r="AK37" s="22">
        <v>5.9722098728508728</v>
      </c>
      <c r="AL37" s="22">
        <v>3.7189457913375104</v>
      </c>
      <c r="AM37" s="22">
        <v>2.3267402851551577</v>
      </c>
      <c r="AN37" s="22">
        <v>5.537006205539579</v>
      </c>
      <c r="AO37" s="24">
        <f t="array" ref="AO37">('1100'!G37) / 100</f>
        <v>6.9199999999999998E-2</v>
      </c>
      <c r="AP37" s="24">
        <f t="array" ref="AP37">('1100'!H37) / 100</f>
        <v>6.0700000000000004E-2</v>
      </c>
      <c r="AQ37" s="24">
        <f t="array" ref="AQ37">('1100'!I37) / 100</f>
        <v>5.16E-2</v>
      </c>
      <c r="AR37" s="24">
        <f t="array" ref="AR37">('1100'!J37) / 100</f>
        <v>5.1900000000000002E-2</v>
      </c>
      <c r="AS37" s="24">
        <f t="array" ref="AS37">('1100'!K37) / 100</f>
        <v>3.4700000000000002E-2</v>
      </c>
      <c r="AT37" s="25">
        <f t="array" ref="AT37">('1100'!A37) / 100</f>
        <v>0.245</v>
      </c>
      <c r="AU37" s="25">
        <f t="array" ref="AU37">('1100'!B37) / 100</f>
        <v>0.26300000000000001</v>
      </c>
      <c r="AV37" s="25">
        <f t="array" ref="AV37">('1100'!C37) / 100</f>
        <v>0.27800000000000002</v>
      </c>
      <c r="AW37" s="25">
        <f t="array" ref="AW37">('1100'!D37) / 100</f>
        <v>0.33399999999999996</v>
      </c>
      <c r="AX37" s="25">
        <f t="array" ref="AX37">('1100'!E37) / 100</f>
        <v>0.30199999999999999</v>
      </c>
      <c r="AY37" s="23">
        <v>13996400</v>
      </c>
      <c r="AZ37" s="23">
        <v>15171400</v>
      </c>
      <c r="BA37" s="23">
        <v>11815700</v>
      </c>
      <c r="BB37" s="23">
        <v>11118700</v>
      </c>
      <c r="BC37" s="23">
        <v>11317300</v>
      </c>
      <c r="BD37" s="22">
        <v>4452000</v>
      </c>
      <c r="BE37" s="22">
        <v>3655200</v>
      </c>
      <c r="BF37" s="22">
        <v>3304900</v>
      </c>
      <c r="BG37" s="22">
        <v>2413300</v>
      </c>
      <c r="BH37" s="22">
        <v>2480200</v>
      </c>
      <c r="BI37" s="23">
        <v>15630400</v>
      </c>
      <c r="BJ37" s="23">
        <v>14574100</v>
      </c>
      <c r="BK37" s="23">
        <v>11799600</v>
      </c>
      <c r="BL37" s="23">
        <v>8639100</v>
      </c>
      <c r="BM37" s="23">
        <v>9205400</v>
      </c>
      <c r="BN37" s="22">
        <v>3836400</v>
      </c>
      <c r="BO37" s="22">
        <v>3834800</v>
      </c>
      <c r="BP37" s="22">
        <v>3276500</v>
      </c>
      <c r="BQ37" s="22">
        <v>2887000</v>
      </c>
      <c r="BR37" s="22">
        <v>2777000</v>
      </c>
    </row>
    <row r="38" spans="1:70" ht="14" x14ac:dyDescent="0.2">
      <c r="A38" s="13" t="s">
        <v>162</v>
      </c>
      <c r="B38" s="14">
        <v>5561704015</v>
      </c>
      <c r="C38" s="14" t="s">
        <v>163</v>
      </c>
      <c r="D38" s="14" t="s">
        <v>67</v>
      </c>
      <c r="E38" s="15" t="s">
        <v>68</v>
      </c>
      <c r="F38" s="16">
        <v>9.7000000000000003E-2</v>
      </c>
      <c r="G38" s="16">
        <v>0.08</v>
      </c>
      <c r="H38" s="16">
        <v>0.08</v>
      </c>
      <c r="I38" s="16">
        <v>0.08</v>
      </c>
      <c r="J38" s="16">
        <v>0.08</v>
      </c>
      <c r="K38" s="18">
        <v>8.5000000000000006E-2</v>
      </c>
      <c r="L38" s="18">
        <v>8.4000000000000005E-2</v>
      </c>
      <c r="M38" s="18">
        <v>2.1999999999999999E-2</v>
      </c>
      <c r="N38" s="18">
        <v>5.0000000000000001E-3</v>
      </c>
      <c r="O38" s="18">
        <v>1.7999999999999999E-2</v>
      </c>
      <c r="P38" s="19">
        <v>-2.5500000000000002E-3</v>
      </c>
      <c r="Q38" s="19">
        <v>-2.9762000000000001E-4</v>
      </c>
      <c r="R38" s="20">
        <v>0</v>
      </c>
      <c r="S38" s="19">
        <v>7.6778999999999997E-3</v>
      </c>
      <c r="T38" s="19">
        <v>3.4641400000000003E-2</v>
      </c>
      <c r="U38" s="21">
        <v>0</v>
      </c>
      <c r="V38" s="21">
        <v>0</v>
      </c>
      <c r="W38" s="21">
        <v>0</v>
      </c>
      <c r="X38" s="21">
        <v>0</v>
      </c>
      <c r="Y38" s="21">
        <v>0</v>
      </c>
      <c r="Z38" s="22" t="s">
        <v>87</v>
      </c>
      <c r="AA38" s="22">
        <v>4587</v>
      </c>
      <c r="AB38" s="22">
        <v>4631</v>
      </c>
      <c r="AC38" s="22">
        <v>4194</v>
      </c>
      <c r="AD38" s="22">
        <v>4117</v>
      </c>
      <c r="AE38" s="23" t="s">
        <v>87</v>
      </c>
      <c r="AF38" s="23">
        <v>2493000</v>
      </c>
      <c r="AG38" s="23">
        <v>2682000</v>
      </c>
      <c r="AH38" s="23">
        <v>3109000</v>
      </c>
      <c r="AI38" s="23">
        <v>2931000</v>
      </c>
      <c r="AJ38" s="22" t="s">
        <v>87</v>
      </c>
      <c r="AK38" s="22">
        <v>2.5964701163257118</v>
      </c>
      <c r="AL38" s="22">
        <v>1.8866517524235644</v>
      </c>
      <c r="AM38" s="22">
        <v>1.4419427468639434</v>
      </c>
      <c r="AN38" s="22">
        <v>3.0696008188331629</v>
      </c>
      <c r="AO38" s="24">
        <f t="array" ref="AO38">('1100'!G38) / 100</f>
        <v>8.9600000000000013E-2</v>
      </c>
      <c r="AP38" s="24">
        <f t="array" ref="AP38">('1100'!H38) / 100</f>
        <v>8.9600000000000013E-2</v>
      </c>
      <c r="AQ38" s="24">
        <f t="array" ref="AQ38">('1100'!I38) / 100</f>
        <v>0.11699999999999999</v>
      </c>
      <c r="AR38" s="24">
        <f t="array" ref="AR38">('1100'!J38) / 100</f>
        <v>0.14019999999999999</v>
      </c>
      <c r="AS38" s="24">
        <f t="array" ref="AS38">('1100'!K38) / 100</f>
        <v>0.11779999999999999</v>
      </c>
      <c r="AT38" s="25">
        <f t="array" ref="AT38">('1100'!A38) / 100</f>
        <v>0.32899999999999996</v>
      </c>
      <c r="AU38" s="25">
        <f t="array" ref="AU38">('1100'!B38) / 100</f>
        <v>0.32899999999999996</v>
      </c>
      <c r="AV38" s="25">
        <f t="array" ref="AV38">('1100'!C38) / 100</f>
        <v>0.33899999999999997</v>
      </c>
      <c r="AW38" s="25">
        <f t="array" ref="AW38">('1100'!D38) / 100</f>
        <v>0.33</v>
      </c>
      <c r="AX38" s="25">
        <f t="array" ref="AX38">('1100'!E38) / 100</f>
        <v>0.28600000000000003</v>
      </c>
      <c r="AY38" s="23">
        <v>18119000</v>
      </c>
      <c r="AZ38" s="23">
        <v>16869000</v>
      </c>
      <c r="BA38" s="23">
        <v>14703000</v>
      </c>
      <c r="BB38" s="23">
        <v>13860000</v>
      </c>
      <c r="BC38" s="23">
        <v>14612000</v>
      </c>
      <c r="BD38" s="22">
        <f>7849000</f>
        <v>7849000</v>
      </c>
      <c r="BE38" s="22">
        <v>6937000</v>
      </c>
      <c r="BF38" s="22">
        <v>6499000</v>
      </c>
      <c r="BG38" s="22">
        <v>5973000</v>
      </c>
      <c r="BH38" s="22">
        <v>6311000</v>
      </c>
      <c r="BI38" s="23" t="s">
        <v>87</v>
      </c>
      <c r="BJ38" s="23">
        <v>29608000</v>
      </c>
      <c r="BK38" s="23">
        <v>26303000</v>
      </c>
      <c r="BL38" s="23">
        <v>24844000</v>
      </c>
      <c r="BM38" s="23">
        <v>28411000</v>
      </c>
      <c r="BN38" s="22">
        <v>10774000</v>
      </c>
      <c r="BO38" s="22">
        <v>9729000</v>
      </c>
      <c r="BP38" s="22">
        <v>8912000</v>
      </c>
      <c r="BQ38" s="22">
        <v>8197000</v>
      </c>
      <c r="BR38" s="22">
        <v>8113000</v>
      </c>
    </row>
    <row r="39" spans="1:70" ht="15" x14ac:dyDescent="0.2">
      <c r="A39" s="26" t="s">
        <v>164</v>
      </c>
      <c r="B39" s="14">
        <v>5562097146</v>
      </c>
      <c r="C39" s="14" t="s">
        <v>165</v>
      </c>
      <c r="D39" s="14" t="s">
        <v>67</v>
      </c>
      <c r="E39" s="15" t="s">
        <v>68</v>
      </c>
      <c r="F39" s="16">
        <f>0.115</f>
        <v>0.115</v>
      </c>
      <c r="G39" s="16">
        <f>0.105</f>
        <v>0.105</v>
      </c>
      <c r="H39" s="16">
        <f t="shared" ref="H39:J39" si="6">0.09</f>
        <v>0.09</v>
      </c>
      <c r="I39" s="16">
        <f t="shared" si="6"/>
        <v>0.09</v>
      </c>
      <c r="J39" s="16">
        <f t="shared" si="6"/>
        <v>0.09</v>
      </c>
      <c r="K39" s="18">
        <v>8.5000000000000006E-2</v>
      </c>
      <c r="L39" s="18">
        <v>8.4000000000000005E-2</v>
      </c>
      <c r="M39" s="18">
        <v>2.1999999999999999E-2</v>
      </c>
      <c r="N39" s="18">
        <v>5.0000000000000001E-3</v>
      </c>
      <c r="O39" s="18">
        <v>1.7999999999999999E-2</v>
      </c>
      <c r="P39" s="19">
        <v>-2.5500000000000002E-3</v>
      </c>
      <c r="Q39" s="19">
        <v>-2.9762000000000001E-4</v>
      </c>
      <c r="R39" s="20">
        <v>0</v>
      </c>
      <c r="S39" s="19">
        <v>7.6778999999999997E-3</v>
      </c>
      <c r="T39" s="19">
        <v>3.4641400000000003E-2</v>
      </c>
      <c r="U39" s="34">
        <f>420.585*1000</f>
        <v>420585</v>
      </c>
      <c r="V39" s="34">
        <v>0</v>
      </c>
      <c r="W39" s="34">
        <v>0</v>
      </c>
      <c r="X39" s="34">
        <v>0</v>
      </c>
      <c r="Y39" s="34">
        <v>0</v>
      </c>
      <c r="Z39" s="22">
        <v>885</v>
      </c>
      <c r="AA39" s="22">
        <v>830</v>
      </c>
      <c r="AB39" s="22">
        <v>891</v>
      </c>
      <c r="AC39" s="22">
        <v>229</v>
      </c>
      <c r="AD39" s="22">
        <v>199</v>
      </c>
      <c r="AE39" s="23" t="s">
        <v>143</v>
      </c>
      <c r="AF39" s="23" t="s">
        <v>144</v>
      </c>
      <c r="AG39" s="23" t="s">
        <v>145</v>
      </c>
      <c r="AH39" s="23" t="s">
        <v>146</v>
      </c>
      <c r="AI39" s="23" t="s">
        <v>147</v>
      </c>
      <c r="AJ39" s="22">
        <v>6.0750000000000002</v>
      </c>
      <c r="AK39" s="22" t="s">
        <v>148</v>
      </c>
      <c r="AL39" s="22">
        <v>32.180999999999997</v>
      </c>
      <c r="AM39" s="22">
        <v>1.3049999999999999</v>
      </c>
      <c r="AN39" s="22">
        <v>10.14</v>
      </c>
      <c r="AO39" s="24">
        <f t="array" ref="AO39">('1100'!G39) / 100</f>
        <v>-1.68</v>
      </c>
      <c r="AP39" s="24">
        <f t="array" ref="AP39">('1100'!H39) / 100</f>
        <v>-1.2</v>
      </c>
      <c r="AQ39" s="24">
        <f t="array" ref="AQ39">('1100'!I39) / 100</f>
        <v>-6.6E-3</v>
      </c>
      <c r="AR39" s="24">
        <f t="array" ref="AR39">('1100'!J39) / 100</f>
        <v>6.4299999999999996E-2</v>
      </c>
      <c r="AS39" s="24">
        <f t="array" ref="AS39">('1100'!K39) / 100</f>
        <v>-0.01</v>
      </c>
      <c r="AT39" s="25">
        <f t="array" ref="AT39">('1100'!A39) / 100</f>
        <v>0.58499999999999996</v>
      </c>
      <c r="AU39" s="25">
        <f t="array" ref="AU39">('1100'!B39) / 100</f>
        <v>0.73599999999999999</v>
      </c>
      <c r="AV39" s="25">
        <f t="array" ref="AV39">('1100'!C39) / 100</f>
        <v>0.79099999999999993</v>
      </c>
      <c r="AW39" s="25">
        <f t="array" ref="AW39">('1100'!D39) / 100</f>
        <v>0.69700000000000006</v>
      </c>
      <c r="AX39" s="25">
        <f t="array" ref="AX39">('1100'!E39) / 100</f>
        <v>0.55899999999999994</v>
      </c>
      <c r="AY39" s="23">
        <v>3161972</v>
      </c>
      <c r="AZ39" s="23">
        <v>3465987</v>
      </c>
      <c r="BA39" s="23">
        <v>1533240</v>
      </c>
      <c r="BB39" s="23">
        <v>1050200</v>
      </c>
      <c r="BC39" s="23">
        <v>838758</v>
      </c>
      <c r="BD39" s="22">
        <v>1726083</v>
      </c>
      <c r="BE39" s="22">
        <v>6670055</v>
      </c>
      <c r="BF39" s="22">
        <v>9280734</v>
      </c>
      <c r="BG39" s="22">
        <v>1010594</v>
      </c>
      <c r="BH39" s="22">
        <v>1053369</v>
      </c>
      <c r="BI39" s="23">
        <v>6945375</v>
      </c>
      <c r="BJ39" s="23">
        <v>12851240</v>
      </c>
      <c r="BK39" s="23">
        <v>14880340</v>
      </c>
      <c r="BL39" s="23">
        <v>2003890</v>
      </c>
      <c r="BM39" s="23">
        <v>2010770</v>
      </c>
      <c r="BN39" s="22">
        <v>4060848</v>
      </c>
      <c r="BO39" s="22">
        <v>9453619</v>
      </c>
      <c r="BP39" s="22">
        <v>11766576</v>
      </c>
      <c r="BQ39" s="22">
        <v>1396403</v>
      </c>
      <c r="BR39" s="22">
        <v>1123484</v>
      </c>
    </row>
    <row r="40" spans="1:70" ht="15" x14ac:dyDescent="0.2">
      <c r="A40" s="26" t="s">
        <v>166</v>
      </c>
      <c r="B40" s="14">
        <v>5560412149</v>
      </c>
      <c r="C40" s="14" t="s">
        <v>167</v>
      </c>
      <c r="D40" s="14" t="s">
        <v>67</v>
      </c>
      <c r="E40" s="15" t="s">
        <v>68</v>
      </c>
      <c r="F40" s="16">
        <v>0.08</v>
      </c>
      <c r="G40" s="16">
        <v>0.08</v>
      </c>
      <c r="H40" s="16">
        <v>0.08</v>
      </c>
      <c r="I40" s="16">
        <v>0.08</v>
      </c>
      <c r="J40" s="16">
        <v>0.08</v>
      </c>
      <c r="K40" s="18">
        <v>8.5000000000000006E-2</v>
      </c>
      <c r="L40" s="18">
        <v>8.4000000000000005E-2</v>
      </c>
      <c r="M40" s="18">
        <v>2.1999999999999999E-2</v>
      </c>
      <c r="N40" s="18">
        <v>5.0000000000000001E-3</v>
      </c>
      <c r="O40" s="18">
        <v>1.7999999999999999E-2</v>
      </c>
      <c r="P40" s="19">
        <v>-2.5500000000000002E-3</v>
      </c>
      <c r="Q40" s="19">
        <v>-2.9762000000000001E-4</v>
      </c>
      <c r="R40" s="20">
        <v>0</v>
      </c>
      <c r="S40" s="19">
        <v>7.6778999999999997E-3</v>
      </c>
      <c r="T40" s="19">
        <v>3.4641400000000003E-2</v>
      </c>
      <c r="U40" s="21">
        <v>0</v>
      </c>
      <c r="V40" s="21">
        <v>0</v>
      </c>
      <c r="W40" s="21">
        <v>0</v>
      </c>
      <c r="X40" s="21">
        <v>0</v>
      </c>
      <c r="Y40" s="21">
        <v>0</v>
      </c>
      <c r="Z40" s="22">
        <v>17923</v>
      </c>
      <c r="AA40" s="22">
        <v>15969</v>
      </c>
      <c r="AB40" s="22">
        <v>14611</v>
      </c>
      <c r="AC40" s="22">
        <v>14012</v>
      </c>
      <c r="AD40" s="22">
        <v>14398</v>
      </c>
      <c r="AE40" s="23">
        <v>15846000</v>
      </c>
      <c r="AF40" s="23">
        <v>13277000</v>
      </c>
      <c r="AG40" s="23">
        <v>10740000</v>
      </c>
      <c r="AH40" s="23">
        <v>9128000</v>
      </c>
      <c r="AI40" s="23">
        <v>9947000</v>
      </c>
      <c r="AJ40" s="22">
        <v>0.82531869241448941</v>
      </c>
      <c r="AK40" s="22">
        <v>0.70520448896588084</v>
      </c>
      <c r="AL40" s="22">
        <v>0.9223463687150838</v>
      </c>
      <c r="AM40" s="22">
        <v>1.2003724802804558</v>
      </c>
      <c r="AN40" s="22">
        <v>0.84628531215441838</v>
      </c>
      <c r="AO40" s="24">
        <f t="array" ref="AO40">('1100'!G40) / 100</f>
        <v>0.22440000000000002</v>
      </c>
      <c r="AP40" s="24">
        <f t="array" ref="AP40">('1100'!H40) / 100</f>
        <v>0.2291</v>
      </c>
      <c r="AQ40" s="24">
        <f t="array" ref="AQ40">('1100'!I40) / 100</f>
        <v>0.2311</v>
      </c>
      <c r="AR40" s="24">
        <f t="array" ref="AR40">('1100'!J40) / 100</f>
        <v>0.20829999999999999</v>
      </c>
      <c r="AS40" s="24">
        <f t="array" ref="AS40">('1100'!K40) / 100</f>
        <v>0.20370000000000002</v>
      </c>
      <c r="AT40" s="25">
        <f t="array" ref="AT40">('1100'!A40) / 100</f>
        <v>0.54299999999999993</v>
      </c>
      <c r="AU40" s="25">
        <f t="array" ref="AU40">('1100'!B40) / 100</f>
        <v>0.53400000000000003</v>
      </c>
      <c r="AV40" s="25">
        <f t="array" ref="AV40">('1100'!C40) / 100</f>
        <v>0.53100000000000003</v>
      </c>
      <c r="AW40" s="25">
        <f t="array" ref="AW40">('1100'!D40) / 100</f>
        <v>0.54</v>
      </c>
      <c r="AX40" s="25">
        <f t="array" ref="AX40">('1100'!E40) / 100</f>
        <v>0.55500000000000005</v>
      </c>
      <c r="AY40" s="23">
        <v>60897000</v>
      </c>
      <c r="AZ40" s="23">
        <v>50042000</v>
      </c>
      <c r="BA40" s="23">
        <v>40006000</v>
      </c>
      <c r="BB40" s="23">
        <v>36287000</v>
      </c>
      <c r="BC40" s="23">
        <v>40979000</v>
      </c>
      <c r="BD40" s="22">
        <v>10222000</v>
      </c>
      <c r="BE40" s="22">
        <v>8275000</v>
      </c>
      <c r="BF40" s="22">
        <v>4089000</v>
      </c>
      <c r="BG40" s="22">
        <v>2049000</v>
      </c>
      <c r="BH40" s="22">
        <v>2185000</v>
      </c>
      <c r="BI40" s="23">
        <v>67784000</v>
      </c>
      <c r="BJ40" s="23">
        <v>61780000</v>
      </c>
      <c r="BK40" s="23">
        <v>48583000</v>
      </c>
      <c r="BL40" s="23">
        <v>43886000</v>
      </c>
      <c r="BM40" s="23">
        <v>41037000</v>
      </c>
      <c r="BN40" s="22">
        <v>36822000</v>
      </c>
      <c r="BO40" s="22">
        <v>33020000</v>
      </c>
      <c r="BP40" s="22">
        <v>25729000</v>
      </c>
      <c r="BQ40" s="22">
        <v>23693000</v>
      </c>
      <c r="BR40" s="22">
        <v>22761000</v>
      </c>
    </row>
    <row r="41" spans="1:70" ht="15" x14ac:dyDescent="0.2">
      <c r="A41" s="26" t="s">
        <v>168</v>
      </c>
      <c r="B41" s="14">
        <v>5568494180</v>
      </c>
      <c r="C41" s="14" t="s">
        <v>169</v>
      </c>
      <c r="D41" s="14" t="s">
        <v>67</v>
      </c>
      <c r="E41" s="15" t="s">
        <v>82</v>
      </c>
      <c r="F41" s="16">
        <v>0.112</v>
      </c>
      <c r="G41" s="16">
        <v>8.7999999999999995E-2</v>
      </c>
      <c r="H41" s="16">
        <v>0.08</v>
      </c>
      <c r="I41" s="16">
        <v>0.08</v>
      </c>
      <c r="J41" s="16">
        <v>0.08</v>
      </c>
      <c r="K41" s="18">
        <v>8.5000000000000006E-2</v>
      </c>
      <c r="L41" s="18">
        <v>8.4000000000000005E-2</v>
      </c>
      <c r="M41" s="18">
        <v>2.1999999999999999E-2</v>
      </c>
      <c r="N41" s="18">
        <v>5.0000000000000001E-3</v>
      </c>
      <c r="O41" s="18">
        <v>1.7999999999999999E-2</v>
      </c>
      <c r="P41" s="19">
        <v>-2.5500000000000002E-3</v>
      </c>
      <c r="Q41" s="19">
        <v>-2.9762000000000001E-4</v>
      </c>
      <c r="R41" s="20">
        <v>0</v>
      </c>
      <c r="S41" s="19">
        <v>7.6778999999999997E-3</v>
      </c>
      <c r="T41" s="19">
        <v>3.4641400000000003E-2</v>
      </c>
      <c r="U41" s="21">
        <v>0</v>
      </c>
      <c r="V41" s="21">
        <v>0</v>
      </c>
      <c r="W41" s="34">
        <v>0</v>
      </c>
      <c r="X41" s="34">
        <v>0</v>
      </c>
      <c r="Y41" s="34">
        <v>0</v>
      </c>
      <c r="Z41" s="22">
        <v>1727</v>
      </c>
      <c r="AA41" s="22">
        <v>1359</v>
      </c>
      <c r="AB41" s="22">
        <v>888</v>
      </c>
      <c r="AC41" s="22">
        <v>671</v>
      </c>
      <c r="AD41" s="22">
        <v>596</v>
      </c>
      <c r="AE41" s="23">
        <v>7690637</v>
      </c>
      <c r="AF41" s="23">
        <v>5628743</v>
      </c>
      <c r="AG41" s="23">
        <v>9944841</v>
      </c>
      <c r="AH41" s="23">
        <v>3411662</v>
      </c>
      <c r="AI41" s="23">
        <v>208200</v>
      </c>
      <c r="AJ41" s="22">
        <v>3.5678836486496501</v>
      </c>
      <c r="AK41" s="22">
        <v>4.9849831481025157</v>
      </c>
      <c r="AL41" s="22">
        <v>0.61038964826084197</v>
      </c>
      <c r="AM41" s="22">
        <v>0.2152941879940041</v>
      </c>
      <c r="AN41" s="22">
        <v>0.37463976945244959</v>
      </c>
      <c r="AO41" s="24">
        <f t="array" ref="AO41">('1100'!G41) / 100</f>
        <v>0.13980000000000001</v>
      </c>
      <c r="AP41" s="24">
        <f t="array" ref="AP41">('1100'!H41) / 100</f>
        <v>0.25650000000000001</v>
      </c>
      <c r="AQ41" s="24">
        <f t="array" ref="AQ41">('1100'!I41) / 100</f>
        <v>0.58850000000000002</v>
      </c>
      <c r="AR41" s="24">
        <f t="array" ref="AR41">('1100'!J41) / 100</f>
        <v>0.54359999999999997</v>
      </c>
      <c r="AS41" s="24">
        <f t="array" ref="AS41">('1100'!K41) / 100</f>
        <v>0.30199999999999999</v>
      </c>
      <c r="AT41" s="25">
        <f t="array" ref="AT41">('1100'!A41) / 100</f>
        <v>0.65200000000000002</v>
      </c>
      <c r="AU41" s="25">
        <f t="array" ref="AU41">('1100'!B41) / 100</f>
        <v>0.66599999999999993</v>
      </c>
      <c r="AV41" s="25">
        <f t="array" ref="AV41">('1100'!C41) / 100</f>
        <v>0.75599999999999989</v>
      </c>
      <c r="AW41" s="25">
        <f t="array" ref="AW41">('1100'!D41) / 100</f>
        <v>0.77800000000000002</v>
      </c>
      <c r="AX41" s="25">
        <f t="array" ref="AX41">('1100'!E41) / 100</f>
        <v>0.75700000000000001</v>
      </c>
      <c r="AY41" s="23">
        <v>23129612</v>
      </c>
      <c r="AZ41" s="23">
        <v>16652671</v>
      </c>
      <c r="BA41" s="23">
        <v>16359479</v>
      </c>
      <c r="BB41" s="23">
        <v>7111308</v>
      </c>
      <c r="BC41" s="23">
        <v>599700</v>
      </c>
      <c r="BD41" s="22">
        <v>23663330</v>
      </c>
      <c r="BE41" s="22">
        <v>24158774</v>
      </c>
      <c r="BF41" s="22">
        <v>8571301</v>
      </c>
      <c r="BG41" s="22">
        <v>153525</v>
      </c>
      <c r="BH41" s="22">
        <v>14700</v>
      </c>
      <c r="BI41" s="23">
        <v>102175297</v>
      </c>
      <c r="BJ41" s="23">
        <v>106798197</v>
      </c>
      <c r="BK41" s="23">
        <v>39891093</v>
      </c>
      <c r="BL41" s="23">
        <v>16282659</v>
      </c>
      <c r="BM41" s="23">
        <v>1428900</v>
      </c>
      <c r="BN41" s="22">
        <v>66615946</v>
      </c>
      <c r="BO41" s="22">
        <v>71165062</v>
      </c>
      <c r="BP41" s="22">
        <v>30164583</v>
      </c>
      <c r="BQ41" s="22">
        <v>12671314</v>
      </c>
      <c r="BR41" s="22">
        <v>1081800</v>
      </c>
    </row>
    <row r="42" spans="1:70" ht="14" x14ac:dyDescent="0.2">
      <c r="A42" s="13" t="s">
        <v>170</v>
      </c>
      <c r="B42" s="14">
        <v>5563255511</v>
      </c>
      <c r="C42" s="14" t="s">
        <v>171</v>
      </c>
      <c r="D42" s="14" t="s">
        <v>67</v>
      </c>
      <c r="E42" s="15" t="s">
        <v>68</v>
      </c>
      <c r="F42" s="16">
        <v>0.1187</v>
      </c>
      <c r="G42" s="16">
        <v>0.106</v>
      </c>
      <c r="H42" s="16">
        <v>7.5999999999999998E-2</v>
      </c>
      <c r="I42" s="16">
        <v>7.5300000000000006E-2</v>
      </c>
      <c r="J42" s="16">
        <v>0.08</v>
      </c>
      <c r="K42" s="18">
        <v>8.5000000000000006E-2</v>
      </c>
      <c r="L42" s="18">
        <v>8.4000000000000005E-2</v>
      </c>
      <c r="M42" s="18">
        <v>2.1999999999999999E-2</v>
      </c>
      <c r="N42" s="18">
        <v>5.0000000000000001E-3</v>
      </c>
      <c r="O42" s="18">
        <v>1.7999999999999999E-2</v>
      </c>
      <c r="P42" s="19">
        <v>-2.5500000000000002E-3</v>
      </c>
      <c r="Q42" s="19">
        <v>-2.9762000000000001E-4</v>
      </c>
      <c r="R42" s="20">
        <v>0</v>
      </c>
      <c r="S42" s="19">
        <v>7.6778999999999997E-3</v>
      </c>
      <c r="T42" s="19">
        <v>3.4641400000000003E-2</v>
      </c>
      <c r="U42" s="21">
        <v>0</v>
      </c>
      <c r="V42" s="21">
        <v>0</v>
      </c>
      <c r="W42" s="21">
        <v>0</v>
      </c>
      <c r="X42" s="21">
        <v>0</v>
      </c>
      <c r="Y42" s="21">
        <v>0</v>
      </c>
      <c r="Z42" s="22">
        <v>45900</v>
      </c>
      <c r="AA42" s="22">
        <v>45563</v>
      </c>
      <c r="AB42" s="22">
        <v>46275</v>
      </c>
      <c r="AC42" s="22">
        <v>6909</v>
      </c>
      <c r="AD42" s="22">
        <v>45980</v>
      </c>
      <c r="AE42" s="23">
        <v>22318000</v>
      </c>
      <c r="AF42" s="23">
        <v>16812000</v>
      </c>
      <c r="AG42" s="23">
        <v>20413000</v>
      </c>
      <c r="AH42" s="23">
        <v>23185000</v>
      </c>
      <c r="AI42" s="23">
        <v>20942000</v>
      </c>
      <c r="AJ42" s="22">
        <v>2.3901783313917018</v>
      </c>
      <c r="AK42" s="22">
        <v>3.5646561979538425</v>
      </c>
      <c r="AL42" s="22">
        <v>2.9220594719051585</v>
      </c>
      <c r="AM42" s="22">
        <v>2.1664869527711881</v>
      </c>
      <c r="AN42" s="22">
        <v>2.6842708432814439</v>
      </c>
      <c r="AO42" s="24">
        <f t="array" ref="AO42">('1100'!G42) / 100</f>
        <v>0.1057</v>
      </c>
      <c r="AP42" s="24">
        <f t="array" ref="AP42">('1100'!H42) / 100</f>
        <v>6.1799999999999994E-2</v>
      </c>
      <c r="AQ42" s="24">
        <f t="array" ref="AQ42">('1100'!I42) / 100</f>
        <v>0.1094</v>
      </c>
      <c r="AR42" s="24">
        <f t="array" ref="AR42">('1100'!J42) / 100</f>
        <v>0.13869999999999999</v>
      </c>
      <c r="AS42" s="24">
        <f t="array" ref="AS42">('1100'!K42) / 100</f>
        <v>0.11210000000000001</v>
      </c>
      <c r="AT42" s="25">
        <f t="array" ref="AT42">('1100'!A42) / 100</f>
        <v>0.34899999999999998</v>
      </c>
      <c r="AU42" s="25">
        <f t="array" ref="AU42">('1100'!B42) / 100</f>
        <v>0.32</v>
      </c>
      <c r="AV42" s="25">
        <f t="array" ref="AV42">('1100'!C42) / 100</f>
        <v>0.34200000000000003</v>
      </c>
      <c r="AW42" s="25">
        <f t="array" ref="AW42">('1100'!D42) / 100</f>
        <v>0.35100000000000003</v>
      </c>
      <c r="AX42" s="25">
        <f t="array" ref="AX42">('1100'!E42) / 100</f>
        <v>0.33299999999999996</v>
      </c>
      <c r="AY42" s="23">
        <v>147186000</v>
      </c>
      <c r="AZ42" s="23">
        <v>156211000</v>
      </c>
      <c r="BA42" s="23">
        <v>121925000</v>
      </c>
      <c r="BB42" s="23">
        <v>121846000</v>
      </c>
      <c r="BC42" s="23">
        <v>129035000</v>
      </c>
      <c r="BD42" s="22">
        <v>39337000</v>
      </c>
      <c r="BE42" s="22">
        <v>44786000</v>
      </c>
      <c r="BF42" s="22">
        <v>37803000</v>
      </c>
      <c r="BG42" s="22">
        <v>32324000</v>
      </c>
      <c r="BH42" s="22">
        <v>34581000</v>
      </c>
      <c r="BI42" s="23">
        <v>202993000</v>
      </c>
      <c r="BJ42" s="23">
        <v>210600000</v>
      </c>
      <c r="BK42" s="23">
        <v>175050000</v>
      </c>
      <c r="BL42" s="23">
        <v>154645000</v>
      </c>
      <c r="BM42" s="23">
        <v>162295000</v>
      </c>
      <c r="BN42" s="22">
        <v>70846000</v>
      </c>
      <c r="BO42" s="22">
        <v>67346000</v>
      </c>
      <c r="BP42" s="22">
        <v>59874000</v>
      </c>
      <c r="BQ42" s="22">
        <v>54352000</v>
      </c>
      <c r="BR42" s="22">
        <v>54125000</v>
      </c>
    </row>
    <row r="43" spans="1:70" ht="15" x14ac:dyDescent="0.2">
      <c r="A43" s="26" t="s">
        <v>172</v>
      </c>
      <c r="B43" s="14">
        <v>5561106203</v>
      </c>
      <c r="C43" s="14" t="s">
        <v>173</v>
      </c>
      <c r="D43" s="14" t="s">
        <v>67</v>
      </c>
      <c r="E43" s="15" t="s">
        <v>68</v>
      </c>
      <c r="F43" s="16">
        <v>0.1</v>
      </c>
      <c r="G43" s="16">
        <v>0.1</v>
      </c>
      <c r="H43" s="16">
        <v>0.1</v>
      </c>
      <c r="I43" s="16">
        <v>0.1</v>
      </c>
      <c r="J43" s="16">
        <v>0.1</v>
      </c>
      <c r="K43" s="18">
        <v>8.5000000000000006E-2</v>
      </c>
      <c r="L43" s="18">
        <v>8.4000000000000005E-2</v>
      </c>
      <c r="M43" s="18">
        <v>2.1999999999999999E-2</v>
      </c>
      <c r="N43" s="18">
        <v>5.0000000000000001E-3</v>
      </c>
      <c r="O43" s="18">
        <v>1.7999999999999999E-2</v>
      </c>
      <c r="P43" s="19">
        <v>-2.5500000000000002E-3</v>
      </c>
      <c r="Q43" s="19">
        <v>-2.9762000000000001E-4</v>
      </c>
      <c r="R43" s="20">
        <v>0</v>
      </c>
      <c r="S43" s="19">
        <v>7.6778999999999997E-3</v>
      </c>
      <c r="T43" s="19">
        <v>3.4641400000000003E-2</v>
      </c>
      <c r="U43" s="34">
        <v>0</v>
      </c>
      <c r="V43" s="34">
        <v>0</v>
      </c>
      <c r="W43" s="34">
        <v>0</v>
      </c>
      <c r="X43" s="34">
        <f>48.6*1000</f>
        <v>48600</v>
      </c>
      <c r="Y43" s="34">
        <f>138.9*1000</f>
        <v>138900</v>
      </c>
      <c r="Z43" s="22">
        <v>4080</v>
      </c>
      <c r="AA43" s="22">
        <v>4059</v>
      </c>
      <c r="AB43" s="22">
        <v>4237</v>
      </c>
      <c r="AC43" s="22">
        <v>4419</v>
      </c>
      <c r="AD43" s="22">
        <v>4467</v>
      </c>
      <c r="AE43" s="23">
        <v>1341200</v>
      </c>
      <c r="AF43" s="23">
        <v>1256800</v>
      </c>
      <c r="AG43" s="23">
        <v>1147300</v>
      </c>
      <c r="AH43" s="23">
        <v>890900</v>
      </c>
      <c r="AI43" s="23">
        <v>1273600</v>
      </c>
      <c r="AJ43" s="22">
        <v>2.8285863405905158</v>
      </c>
      <c r="AK43" s="22">
        <v>3.4524984086569064</v>
      </c>
      <c r="AL43" s="22">
        <v>3.5777041750196115</v>
      </c>
      <c r="AM43" s="22">
        <v>5.3900550005612304</v>
      </c>
      <c r="AN43" s="22">
        <v>4.4166143216080398</v>
      </c>
      <c r="AO43" s="24">
        <f t="array" ref="AO43">('1100'!G43) / 100</f>
        <v>0.11119999999999999</v>
      </c>
      <c r="AP43" s="24">
        <f t="array" ref="AP43">('1100'!H43) / 100</f>
        <v>0.10580000000000001</v>
      </c>
      <c r="AQ43" s="24">
        <f t="array" ref="AQ43">('1100'!I43) / 100</f>
        <v>0.1014</v>
      </c>
      <c r="AR43" s="24">
        <f t="array" ref="AR43">('1100'!J43) / 100</f>
        <v>5.2499999999999998E-2</v>
      </c>
      <c r="AS43" s="24">
        <f t="array" ref="AS43">('1100'!K43) / 100</f>
        <v>0.10619999999999999</v>
      </c>
      <c r="AT43" s="25">
        <f t="array" ref="AT43">('1100'!A43) / 100</f>
        <v>0.55200000000000005</v>
      </c>
      <c r="AU43" s="25">
        <f t="array" ref="AU43">('1100'!B43) / 100</f>
        <v>0.51600000000000001</v>
      </c>
      <c r="AV43" s="25">
        <f t="array" ref="AV43">('1100'!C43) / 100</f>
        <v>0.49200000000000005</v>
      </c>
      <c r="AW43" s="25">
        <f t="array" ref="AW43">('1100'!D43) / 100</f>
        <v>0.47</v>
      </c>
      <c r="AX43" s="25">
        <f t="array" ref="AX43">('1100'!E43) / 100</f>
        <v>0.41700000000000004</v>
      </c>
      <c r="AY43" s="23">
        <v>8676300</v>
      </c>
      <c r="AZ43" s="23">
        <v>8347200</v>
      </c>
      <c r="BA43" s="23">
        <v>7232400</v>
      </c>
      <c r="BB43" s="23">
        <v>6994500</v>
      </c>
      <c r="BC43" s="23">
        <v>7918400</v>
      </c>
      <c r="BD43" s="22">
        <v>3085300</v>
      </c>
      <c r="BE43" s="22">
        <v>3028300</v>
      </c>
      <c r="BF43" s="22">
        <v>2904000</v>
      </c>
      <c r="BG43" s="22">
        <v>2843200</v>
      </c>
      <c r="BH43" s="22">
        <v>3002900</v>
      </c>
      <c r="BI43" s="23">
        <v>13007400</v>
      </c>
      <c r="BJ43" s="23">
        <v>13332600</v>
      </c>
      <c r="BK43" s="23">
        <v>12652700</v>
      </c>
      <c r="BL43" s="23">
        <v>12261900</v>
      </c>
      <c r="BM43" s="23">
        <v>13092100</v>
      </c>
      <c r="BN43" s="22">
        <v>7184100</v>
      </c>
      <c r="BO43" s="22">
        <v>6882300</v>
      </c>
      <c r="BP43" s="22">
        <v>6218900</v>
      </c>
      <c r="BQ43" s="22">
        <v>5764400</v>
      </c>
      <c r="BR43" s="22">
        <v>5461300</v>
      </c>
    </row>
    <row r="44" spans="1:70" ht="14" x14ac:dyDescent="0.2">
      <c r="A44" s="35" t="s">
        <v>174</v>
      </c>
      <c r="B44" s="31">
        <v>5560510207</v>
      </c>
      <c r="C44" s="31" t="s">
        <v>175</v>
      </c>
      <c r="D44" s="14" t="s">
        <v>67</v>
      </c>
      <c r="E44" s="15" t="s">
        <v>79</v>
      </c>
      <c r="F44" s="32">
        <f>0.114</f>
        <v>0.114</v>
      </c>
      <c r="G44" s="32">
        <f>0.113</f>
        <v>0.113</v>
      </c>
      <c r="H44" s="32">
        <f>0.092</f>
        <v>9.1999999999999998E-2</v>
      </c>
      <c r="I44" s="32">
        <f t="shared" ref="I44:J44" si="7">0.096</f>
        <v>9.6000000000000002E-2</v>
      </c>
      <c r="J44" s="32">
        <f t="shared" si="7"/>
        <v>9.6000000000000002E-2</v>
      </c>
      <c r="K44" s="18">
        <v>8.5000000000000006E-2</v>
      </c>
      <c r="L44" s="18">
        <v>8.4000000000000005E-2</v>
      </c>
      <c r="M44" s="18">
        <v>2.1999999999999999E-2</v>
      </c>
      <c r="N44" s="18">
        <v>5.0000000000000001E-3</v>
      </c>
      <c r="O44" s="18">
        <v>1.7999999999999999E-2</v>
      </c>
      <c r="P44" s="19">
        <v>-2.5500000000000002E-3</v>
      </c>
      <c r="Q44" s="19">
        <v>-2.9762000000000001E-4</v>
      </c>
      <c r="R44" s="20">
        <v>0</v>
      </c>
      <c r="S44" s="19">
        <v>7.6778999999999997E-3</v>
      </c>
      <c r="T44" s="19">
        <v>3.4641400000000003E-2</v>
      </c>
      <c r="U44" s="21">
        <v>0</v>
      </c>
      <c r="V44" s="21">
        <v>0</v>
      </c>
      <c r="W44" s="21">
        <v>0</v>
      </c>
      <c r="X44" s="21">
        <v>0</v>
      </c>
      <c r="Y44" s="21">
        <v>0</v>
      </c>
      <c r="Z44" s="22">
        <v>568</v>
      </c>
      <c r="AA44" s="22">
        <v>559</v>
      </c>
      <c r="AB44" s="22">
        <v>532</v>
      </c>
      <c r="AC44" s="22">
        <v>516</v>
      </c>
      <c r="AD44" s="22">
        <v>489</v>
      </c>
      <c r="AE44" s="23" t="s">
        <v>176</v>
      </c>
      <c r="AF44" s="23" t="s">
        <v>177</v>
      </c>
      <c r="AG44" s="23" t="s">
        <v>178</v>
      </c>
      <c r="AH44" s="23" t="s">
        <v>179</v>
      </c>
      <c r="AI44" s="23" t="s">
        <v>180</v>
      </c>
      <c r="AJ44" s="22">
        <v>1.228</v>
      </c>
      <c r="AK44" s="22">
        <v>0.92500000000000004</v>
      </c>
      <c r="AL44" s="22">
        <v>0.94</v>
      </c>
      <c r="AM44" s="22">
        <v>0.40400000000000003</v>
      </c>
      <c r="AN44" s="22">
        <v>0.14799999999999999</v>
      </c>
      <c r="AO44" s="24">
        <f t="array" ref="AO44">('1100'!G44) / 100</f>
        <v>0.1157</v>
      </c>
      <c r="AP44" s="24">
        <f t="array" ref="AP44">('1100'!H44) / 100</f>
        <v>0.1406</v>
      </c>
      <c r="AQ44" s="24">
        <f t="array" ref="AQ44">('1100'!I44) / 100</f>
        <v>0.17670000000000002</v>
      </c>
      <c r="AR44" s="24">
        <f t="array" ref="AR44">('1100'!J44) / 100</f>
        <v>0.13369999999999999</v>
      </c>
      <c r="AS44" s="24">
        <f t="array" ref="AS44">('1100'!K44) / 100</f>
        <v>9.2200000000000004E-2</v>
      </c>
      <c r="AT44" s="25">
        <f t="array" ref="AT44">('1100'!A44) / 100</f>
        <v>0.57499999999999996</v>
      </c>
      <c r="AU44" s="25">
        <f t="array" ref="AU44">('1100'!B44) / 100</f>
        <v>0.55600000000000005</v>
      </c>
      <c r="AV44" s="25">
        <f t="array" ref="AV44">('1100'!C44) / 100</f>
        <v>0.46600000000000003</v>
      </c>
      <c r="AW44" s="25">
        <f t="array" ref="AW44">('1100'!D44) / 100</f>
        <v>0.42499999999999999</v>
      </c>
      <c r="AX44" s="25">
        <f t="array" ref="AX44">('1100'!E44) / 100</f>
        <v>0.45799999999999996</v>
      </c>
      <c r="AY44" s="23">
        <v>1964533</v>
      </c>
      <c r="AZ44" s="23">
        <v>1947482</v>
      </c>
      <c r="BA44" s="23">
        <v>1837956</v>
      </c>
      <c r="BB44" s="23">
        <v>1553672</v>
      </c>
      <c r="BC44" s="23">
        <v>1329672</v>
      </c>
      <c r="BD44" s="22">
        <v>288957</v>
      </c>
      <c r="BE44" s="22">
        <v>288629</v>
      </c>
      <c r="BF44" s="22">
        <v>270090</v>
      </c>
      <c r="BG44" s="22">
        <v>216660</v>
      </c>
      <c r="BH44" s="22">
        <v>221410</v>
      </c>
      <c r="BI44" s="23">
        <v>1778477</v>
      </c>
      <c r="BJ44" s="23">
        <v>1798170</v>
      </c>
      <c r="BK44" s="23">
        <v>1731389</v>
      </c>
      <c r="BL44" s="23">
        <v>1369728</v>
      </c>
      <c r="BM44" s="23">
        <v>1228751</v>
      </c>
      <c r="BN44" s="22">
        <v>1022560</v>
      </c>
      <c r="BO44" s="22">
        <v>999779</v>
      </c>
      <c r="BP44" s="22">
        <v>806890</v>
      </c>
      <c r="BQ44" s="22">
        <v>581893</v>
      </c>
      <c r="BR44" s="22">
        <v>563131</v>
      </c>
    </row>
    <row r="45" spans="1:70" ht="15" x14ac:dyDescent="0.2">
      <c r="A45" s="26" t="s">
        <v>181</v>
      </c>
      <c r="B45" s="14">
        <v>5564085032</v>
      </c>
      <c r="C45" s="14" t="s">
        <v>182</v>
      </c>
      <c r="D45" s="14" t="s">
        <v>67</v>
      </c>
      <c r="E45" s="15" t="s">
        <v>68</v>
      </c>
      <c r="F45" s="16">
        <v>0.1055</v>
      </c>
      <c r="G45" s="16">
        <v>9.6000000000000002E-2</v>
      </c>
      <c r="H45" s="16">
        <v>8.7999999999999995E-2</v>
      </c>
      <c r="I45" s="16">
        <v>8.4000000000000005E-2</v>
      </c>
      <c r="J45" s="16">
        <v>8.5999999999999993E-2</v>
      </c>
      <c r="K45" s="18">
        <v>8.5000000000000006E-2</v>
      </c>
      <c r="L45" s="18">
        <v>8.4000000000000005E-2</v>
      </c>
      <c r="M45" s="18">
        <v>2.1999999999999999E-2</v>
      </c>
      <c r="N45" s="18">
        <v>5.0000000000000001E-3</v>
      </c>
      <c r="O45" s="18">
        <v>1.7999999999999999E-2</v>
      </c>
      <c r="P45" s="19">
        <v>-2.5500000000000102E-3</v>
      </c>
      <c r="Q45" s="19">
        <v>-2.9762000000000001E-4</v>
      </c>
      <c r="R45" s="20">
        <v>0</v>
      </c>
      <c r="S45" s="19">
        <v>7.6778999999999997E-3</v>
      </c>
      <c r="T45" s="19">
        <v>3.4641400000000003E-2</v>
      </c>
      <c r="U45" s="21">
        <v>0</v>
      </c>
      <c r="V45" s="21">
        <v>0</v>
      </c>
      <c r="W45" s="21">
        <v>0</v>
      </c>
      <c r="X45" s="21">
        <v>0</v>
      </c>
      <c r="Y45" s="21">
        <v>0</v>
      </c>
      <c r="Z45" s="22">
        <v>11226</v>
      </c>
      <c r="AA45" s="22">
        <v>10989</v>
      </c>
      <c r="AB45" s="22">
        <v>10717</v>
      </c>
      <c r="AC45" s="22">
        <v>10795</v>
      </c>
      <c r="AD45" s="22">
        <v>10684</v>
      </c>
      <c r="AE45" s="23">
        <v>5829000</v>
      </c>
      <c r="AF45" s="23">
        <v>5652000</v>
      </c>
      <c r="AG45" s="23">
        <v>6186000</v>
      </c>
      <c r="AH45" s="23">
        <v>7251000</v>
      </c>
      <c r="AI45" s="23">
        <v>4595000</v>
      </c>
      <c r="AJ45" s="22">
        <v>1.2376050780579859</v>
      </c>
      <c r="AK45" s="22">
        <v>1.0327317763623496</v>
      </c>
      <c r="AL45" s="22">
        <v>0.73310701584222437</v>
      </c>
      <c r="AM45" s="22">
        <v>1.8949110467521721</v>
      </c>
      <c r="AN45" s="22">
        <v>2.2113166485310121</v>
      </c>
      <c r="AO45" s="24">
        <f t="array" ref="AO45">('1100'!G45) / 100</f>
        <v>0.1226</v>
      </c>
      <c r="AP45" s="24">
        <f t="array" ref="AP45">('1100'!H45) / 100</f>
        <v>0.1331</v>
      </c>
      <c r="AQ45" s="24">
        <f t="array" ref="AQ45">('1100'!I45) / 100</f>
        <v>0.16200000000000001</v>
      </c>
      <c r="AR45" s="24">
        <f t="array" ref="AR45">('1100'!J45) / 100</f>
        <v>0.16070000000000001</v>
      </c>
      <c r="AS45" s="24">
        <f t="array" ref="AS45">('1100'!K45) / 100</f>
        <v>8.9700000000000002E-2</v>
      </c>
      <c r="AT45" s="25">
        <f t="array" ref="AT45">('1100'!A45) / 100</f>
        <v>0.56299999999999994</v>
      </c>
      <c r="AU45" s="25">
        <f t="array" ref="AU45">('1100'!B45) / 100</f>
        <v>0.57700000000000007</v>
      </c>
      <c r="AV45" s="25">
        <f t="array" ref="AV45">('1100'!C45) / 100</f>
        <v>0.55500000000000005</v>
      </c>
      <c r="AW45" s="25">
        <f t="array" ref="AW45">('1100'!D45) / 100</f>
        <v>0.46700000000000003</v>
      </c>
      <c r="AX45" s="25">
        <f t="array" ref="AX45">('1100'!E45) / 100</f>
        <v>0.45799999999999996</v>
      </c>
      <c r="AY45" s="23">
        <v>32857000</v>
      </c>
      <c r="AZ45" s="23">
        <v>28934000</v>
      </c>
      <c r="BA45" s="23">
        <v>27769000</v>
      </c>
      <c r="BB45" s="23">
        <v>30845000</v>
      </c>
      <c r="BC45" s="23">
        <v>26731000</v>
      </c>
      <c r="BD45" s="22">
        <v>24869000</v>
      </c>
      <c r="BE45" s="22">
        <v>22512000</v>
      </c>
      <c r="BF45" s="22">
        <v>19681000</v>
      </c>
      <c r="BG45" s="22">
        <v>17427000</v>
      </c>
      <c r="BH45" s="22">
        <v>18674000</v>
      </c>
      <c r="BI45" s="23">
        <v>53586000</v>
      </c>
      <c r="BJ45" s="23">
        <v>52032000</v>
      </c>
      <c r="BK45" s="23">
        <v>44555000</v>
      </c>
      <c r="BL45" s="23">
        <v>45015000</v>
      </c>
      <c r="BM45" s="23">
        <v>44713000</v>
      </c>
      <c r="BN45" s="22">
        <v>30166000</v>
      </c>
      <c r="BO45" s="22">
        <v>30038000</v>
      </c>
      <c r="BP45" s="22">
        <v>24749000</v>
      </c>
      <c r="BQ45" s="22">
        <v>21024000</v>
      </c>
      <c r="BR45" s="22">
        <v>20496000</v>
      </c>
    </row>
    <row r="46" spans="1:70" ht="14" x14ac:dyDescent="0.2">
      <c r="A46" s="13" t="s">
        <v>183</v>
      </c>
      <c r="B46" s="14">
        <v>5560016122</v>
      </c>
      <c r="C46" s="14" t="s">
        <v>184</v>
      </c>
      <c r="D46" s="14" t="s">
        <v>67</v>
      </c>
      <c r="E46" s="15" t="s">
        <v>68</v>
      </c>
      <c r="F46" s="16">
        <v>8.3000000000000004E-2</v>
      </c>
      <c r="G46" s="16">
        <v>8.5999999999999993E-2</v>
      </c>
      <c r="H46" s="16">
        <v>0.08</v>
      </c>
      <c r="I46" s="16">
        <v>0.08</v>
      </c>
      <c r="J46" s="16">
        <v>0.08</v>
      </c>
      <c r="K46" s="18">
        <v>8.5000000000000006E-2</v>
      </c>
      <c r="L46" s="18">
        <v>8.4000000000000005E-2</v>
      </c>
      <c r="M46" s="18">
        <v>2.1999999999999999E-2</v>
      </c>
      <c r="N46" s="18">
        <v>5.0000000000000001E-3</v>
      </c>
      <c r="O46" s="18">
        <v>1.7999999999999999E-2</v>
      </c>
      <c r="P46" s="19">
        <v>-2.5500000000000102E-3</v>
      </c>
      <c r="Q46" s="19">
        <v>-2.9762000000000001E-4</v>
      </c>
      <c r="R46" s="20">
        <v>0</v>
      </c>
      <c r="S46" s="19">
        <v>7.6778999999999997E-3</v>
      </c>
      <c r="T46" s="19">
        <v>3.4641400000000003E-2</v>
      </c>
      <c r="U46" s="21">
        <v>0</v>
      </c>
      <c r="V46" s="21">
        <v>0</v>
      </c>
      <c r="W46" s="21">
        <v>0</v>
      </c>
      <c r="X46" s="21">
        <v>0</v>
      </c>
      <c r="Y46" s="21">
        <v>0</v>
      </c>
      <c r="Z46" s="22">
        <v>2718</v>
      </c>
      <c r="AA46" s="22">
        <v>2694</v>
      </c>
      <c r="AB46" s="22">
        <v>2648</v>
      </c>
      <c r="AC46" s="22">
        <v>1792</v>
      </c>
      <c r="AD46" s="22">
        <v>1805</v>
      </c>
      <c r="AE46" s="23">
        <v>2429000</v>
      </c>
      <c r="AF46" s="23">
        <v>2050000</v>
      </c>
      <c r="AG46" s="23">
        <v>1511000</v>
      </c>
      <c r="AH46" s="23">
        <v>1137000</v>
      </c>
      <c r="AI46" s="23">
        <v>1297000</v>
      </c>
      <c r="AJ46" s="22">
        <v>1.3771099217785097</v>
      </c>
      <c r="AK46" s="22">
        <v>1.8253658536585367</v>
      </c>
      <c r="AL46" s="22">
        <v>2.1409662475181999</v>
      </c>
      <c r="AM46" s="22">
        <v>2.405452946350044</v>
      </c>
      <c r="AN46" s="22">
        <v>2.6322282189668464</v>
      </c>
      <c r="AO46" s="24">
        <f t="array" ref="AO46">('1100'!G46) / 100</f>
        <v>7.22E-2</v>
      </c>
      <c r="AP46" s="24">
        <f t="array" ref="AP46">('1100'!H46) / 100</f>
        <v>4.7300000000000002E-2</v>
      </c>
      <c r="AQ46" s="24">
        <f t="array" ref="AQ46">('1100'!I46) / 100</f>
        <v>4.6600000000000003E-2</v>
      </c>
      <c r="AR46" s="24">
        <f t="array" ref="AR46">('1100'!J46) / 100</f>
        <v>5.4299999999999994E-2</v>
      </c>
      <c r="AS46" s="24">
        <f t="array" ref="AS46">('1100'!K46) / 100</f>
        <v>7.0699999999999999E-2</v>
      </c>
      <c r="AT46" s="25">
        <f t="array" ref="AT46">('1100'!A46) / 100</f>
        <v>0.52800000000000002</v>
      </c>
      <c r="AU46" s="25">
        <f t="array" ref="AU46">('1100'!B46) / 100</f>
        <v>0.46799999999999997</v>
      </c>
      <c r="AV46" s="25">
        <f t="array" ref="AV46">('1100'!C46) / 100</f>
        <v>0.44</v>
      </c>
      <c r="AW46" s="25">
        <f t="array" ref="AW46">('1100'!D46) / 100</f>
        <v>0.43700000000000006</v>
      </c>
      <c r="AX46" s="25">
        <f t="array" ref="AX46">('1100'!E46) / 100</f>
        <v>0.41200000000000003</v>
      </c>
      <c r="AY46" s="23">
        <v>22519000</v>
      </c>
      <c r="AZ46" s="23">
        <v>24492000</v>
      </c>
      <c r="BA46" s="23">
        <v>18130000</v>
      </c>
      <c r="BB46" s="23">
        <v>11008000</v>
      </c>
      <c r="BC46" s="23">
        <v>11978000</v>
      </c>
      <c r="BD46" s="22">
        <v>979000</v>
      </c>
      <c r="BE46" s="22">
        <f>873000</f>
        <v>873000</v>
      </c>
      <c r="BF46" s="22">
        <v>873000</v>
      </c>
      <c r="BG46" s="22">
        <v>814000</v>
      </c>
      <c r="BH46" s="22">
        <v>404000</v>
      </c>
      <c r="BI46" s="23">
        <v>16688000</v>
      </c>
      <c r="BJ46" s="23">
        <v>17530000</v>
      </c>
      <c r="BK46" s="23">
        <v>15767000</v>
      </c>
      <c r="BL46" s="23">
        <v>13652000</v>
      </c>
      <c r="BM46" s="23">
        <v>10480000</v>
      </c>
      <c r="BN46" s="22">
        <v>8808000</v>
      </c>
      <c r="BO46" s="22">
        <v>8203000</v>
      </c>
      <c r="BP46" s="22">
        <v>6930000</v>
      </c>
      <c r="BQ46" s="22">
        <v>5968000</v>
      </c>
      <c r="BR46" s="22">
        <v>4314000</v>
      </c>
    </row>
    <row r="47" spans="1:70" ht="14" x14ac:dyDescent="0.2">
      <c r="A47" s="13" t="s">
        <v>185</v>
      </c>
      <c r="B47" s="14">
        <v>5560427220</v>
      </c>
      <c r="C47" s="14" t="s">
        <v>186</v>
      </c>
      <c r="D47" s="14" t="s">
        <v>67</v>
      </c>
      <c r="E47" s="15" t="s">
        <v>68</v>
      </c>
      <c r="F47" s="16">
        <v>0.115</v>
      </c>
      <c r="G47" s="16">
        <v>0.115</v>
      </c>
      <c r="H47" s="16">
        <v>0.11550000000000001</v>
      </c>
      <c r="I47" s="16">
        <v>0.14000000000000001</v>
      </c>
      <c r="J47" s="16">
        <v>0.14000000000000001</v>
      </c>
      <c r="K47" s="18">
        <v>8.5000000000000006E-2</v>
      </c>
      <c r="L47" s="18">
        <v>8.4000000000000005E-2</v>
      </c>
      <c r="M47" s="18">
        <v>2.1999999999999999E-2</v>
      </c>
      <c r="N47" s="18">
        <v>5.0000000000000001E-3</v>
      </c>
      <c r="O47" s="18">
        <v>1.7999999999999999E-2</v>
      </c>
      <c r="P47" s="19">
        <v>-2.5500000000000102E-3</v>
      </c>
      <c r="Q47" s="19">
        <v>-2.9762000000000001E-4</v>
      </c>
      <c r="R47" s="20">
        <v>0</v>
      </c>
      <c r="S47" s="19">
        <v>7.6778999999999997E-3</v>
      </c>
      <c r="T47" s="19">
        <v>3.4641400000000003E-2</v>
      </c>
      <c r="U47" s="21">
        <v>0</v>
      </c>
      <c r="V47" s="21">
        <v>0</v>
      </c>
      <c r="W47" s="21">
        <v>0</v>
      </c>
      <c r="X47" s="21">
        <v>0</v>
      </c>
      <c r="Y47" s="21">
        <v>0</v>
      </c>
      <c r="Z47" s="22">
        <v>101103</v>
      </c>
      <c r="AA47" s="22">
        <v>106522</v>
      </c>
      <c r="AB47" s="22">
        <v>107375</v>
      </c>
      <c r="AC47" s="22">
        <v>110325</v>
      </c>
      <c r="AD47" s="22">
        <v>126376</v>
      </c>
      <c r="AE47" s="23">
        <v>37492000</v>
      </c>
      <c r="AF47" s="23">
        <v>29748000</v>
      </c>
      <c r="AG47" s="23">
        <v>37575000</v>
      </c>
      <c r="AH47" s="23">
        <v>29052000</v>
      </c>
      <c r="AI47" s="23">
        <v>28397000</v>
      </c>
      <c r="AJ47" s="22">
        <v>1.7434118745332337</v>
      </c>
      <c r="AK47" s="22">
        <v>2.197088879924701</v>
      </c>
      <c r="AL47" s="22">
        <v>1.5707784431137723</v>
      </c>
      <c r="AM47" s="22">
        <v>2.4362522373674791</v>
      </c>
      <c r="AN47" s="22">
        <v>0.79177377892030854</v>
      </c>
      <c r="AO47" s="24">
        <f t="array" ref="AO47">('1100'!G47) / 100</f>
        <v>6.4199999999999993E-2</v>
      </c>
      <c r="AP47" s="24">
        <f t="array" ref="AP47">('1100'!H47) / 100</f>
        <v>3.2799999999999996E-2</v>
      </c>
      <c r="AQ47" s="24">
        <f t="array" ref="AQ47">('1100'!I47) / 100</f>
        <v>7.7699999999999991E-2</v>
      </c>
      <c r="AR47" s="24">
        <f t="array" ref="AR47">('1100'!J47) / 100</f>
        <v>1.7899999999999999E-2</v>
      </c>
      <c r="AS47" s="24">
        <f t="array" ref="AS47">('1100'!K47) / 100</f>
        <v>7.6100000000000001E-2</v>
      </c>
      <c r="AT47" s="25">
        <f t="array" ref="AT47">('1100'!A47) / 100</f>
        <v>0.26200000000000001</v>
      </c>
      <c r="AU47" s="25">
        <f t="array" ref="AU47">('1100'!B47) / 100</f>
        <v>0.27899999999999997</v>
      </c>
      <c r="AV47" s="25">
        <f t="array" ref="AV47">('1100'!C47) / 100</f>
        <v>0.33399999999999996</v>
      </c>
      <c r="AW47" s="25">
        <f t="array" ref="AW47">('1100'!D47) / 100</f>
        <v>0.313</v>
      </c>
      <c r="AX47" s="25">
        <f t="array" ref="AX47">('1100'!E47) / 100</f>
        <v>0.47399999999999998</v>
      </c>
      <c r="AY47" s="23">
        <v>237006000</v>
      </c>
      <c r="AZ47" s="23">
        <v>223553000</v>
      </c>
      <c r="BA47" s="23">
        <v>198967000</v>
      </c>
      <c r="BB47" s="23">
        <v>187031000</v>
      </c>
      <c r="BC47" s="23">
        <v>232755000</v>
      </c>
      <c r="BD47" s="22">
        <v>1013000</v>
      </c>
      <c r="BE47" s="22">
        <v>64000</v>
      </c>
      <c r="BF47" s="22">
        <v>64000</v>
      </c>
      <c r="BG47" s="22">
        <v>64000</v>
      </c>
      <c r="BH47" s="22">
        <v>64000</v>
      </c>
      <c r="BI47" s="23">
        <v>181273000</v>
      </c>
      <c r="BJ47" s="23">
        <v>182048000</v>
      </c>
      <c r="BK47" s="23">
        <v>179781000</v>
      </c>
      <c r="BL47" s="23">
        <v>174371000</v>
      </c>
      <c r="BM47" s="23">
        <v>120485000</v>
      </c>
      <c r="BN47" s="22">
        <v>47519000</v>
      </c>
      <c r="BO47" s="22">
        <v>50757000</v>
      </c>
      <c r="BP47" s="22">
        <v>60018000</v>
      </c>
      <c r="BQ47" s="22">
        <v>54623000</v>
      </c>
      <c r="BR47" s="22">
        <v>57069000</v>
      </c>
    </row>
    <row r="48" spans="1:70" ht="15" x14ac:dyDescent="0.2">
      <c r="A48" s="26" t="s">
        <v>187</v>
      </c>
      <c r="B48" s="14">
        <v>5590884440</v>
      </c>
      <c r="C48" s="14" t="s">
        <v>188</v>
      </c>
      <c r="D48" s="14" t="s">
        <v>67</v>
      </c>
      <c r="E48" s="15" t="s">
        <v>68</v>
      </c>
      <c r="F48" s="16">
        <v>0.161</v>
      </c>
      <c r="G48" s="16">
        <f>0.147</f>
        <v>0.14699999999999999</v>
      </c>
      <c r="H48" s="16">
        <f>0.143</f>
        <v>0.14299999999999999</v>
      </c>
      <c r="I48" s="16">
        <f>0.155</f>
        <v>0.155</v>
      </c>
      <c r="J48" s="16">
        <f>0.156</f>
        <v>0.156</v>
      </c>
      <c r="K48" s="18">
        <v>8.5000000000000006E-2</v>
      </c>
      <c r="L48" s="18">
        <v>8.4000000000000005E-2</v>
      </c>
      <c r="M48" s="18">
        <v>2.1999999999999999E-2</v>
      </c>
      <c r="N48" s="18">
        <v>5.0000000000000001E-3</v>
      </c>
      <c r="O48" s="18">
        <v>1.7999999999999999E-2</v>
      </c>
      <c r="P48" s="19">
        <v>-2.5500000000000102E-3</v>
      </c>
      <c r="Q48" s="19">
        <v>-2.9762000000000001E-4</v>
      </c>
      <c r="R48" s="20">
        <v>0</v>
      </c>
      <c r="S48" s="19">
        <v>7.6778999999999997E-3</v>
      </c>
      <c r="T48" s="19">
        <v>3.4641400000000003E-2</v>
      </c>
      <c r="U48" s="21">
        <v>0</v>
      </c>
      <c r="V48" s="21">
        <v>0</v>
      </c>
      <c r="W48" s="21">
        <v>0</v>
      </c>
      <c r="X48" s="21">
        <v>0</v>
      </c>
      <c r="Y48" s="21">
        <v>0</v>
      </c>
      <c r="Z48" s="22">
        <v>148</v>
      </c>
      <c r="AA48" s="22">
        <v>124</v>
      </c>
      <c r="AB48" s="22">
        <v>112</v>
      </c>
      <c r="AC48" s="22">
        <v>102</v>
      </c>
      <c r="AD48" s="22">
        <v>80</v>
      </c>
      <c r="AE48" s="23" t="s">
        <v>189</v>
      </c>
      <c r="AF48" s="23" t="s">
        <v>190</v>
      </c>
      <c r="AG48" s="23" t="s">
        <v>191</v>
      </c>
      <c r="AH48" s="23" t="s">
        <v>192</v>
      </c>
      <c r="AI48" s="23" t="s">
        <v>193</v>
      </c>
      <c r="AJ48" s="22">
        <v>1.401</v>
      </c>
      <c r="AK48" s="22">
        <v>1.202</v>
      </c>
      <c r="AL48" s="22">
        <v>1.6439999999999999</v>
      </c>
      <c r="AM48" s="22">
        <v>4.8710000000000004</v>
      </c>
      <c r="AN48" s="22">
        <v>5.4119999999999999</v>
      </c>
      <c r="AO48" s="24">
        <f t="array" ref="AO48">('1100'!G48) / 100</f>
        <v>0.44929999999999998</v>
      </c>
      <c r="AP48" s="24">
        <f t="array" ref="AP48">('1100'!H48) / 100</f>
        <v>0.42520000000000002</v>
      </c>
      <c r="AQ48" s="24">
        <f t="array" ref="AQ48">('1100'!I48) / 100</f>
        <v>0.30790000000000001</v>
      </c>
      <c r="AR48" s="24">
        <f t="array" ref="AR48">('1100'!J48) / 100</f>
        <v>0.20399999999999999</v>
      </c>
      <c r="AS48" s="24">
        <f t="array" ref="AS48">('1100'!K48) / 100</f>
        <v>0.23569999999999999</v>
      </c>
      <c r="AT48" s="25">
        <f t="array" ref="AT48">('1100'!A48) / 100</f>
        <v>0.58399999999999996</v>
      </c>
      <c r="AU48" s="25">
        <f t="array" ref="AU48">('1100'!B48) / 100</f>
        <v>0.68400000000000005</v>
      </c>
      <c r="AV48" s="25">
        <f t="array" ref="AV48">('1100'!C48) / 100</f>
        <v>0.71099999999999997</v>
      </c>
      <c r="AW48" s="25">
        <f t="array" ref="AW48">('1100'!D48) / 100</f>
        <v>0.56899999999999995</v>
      </c>
      <c r="AX48" s="25">
        <f t="array" ref="AX48">('1100'!E48) / 100</f>
        <v>0.53400000000000003</v>
      </c>
      <c r="AY48" s="23">
        <v>1020400</v>
      </c>
      <c r="AZ48" s="23">
        <v>901800</v>
      </c>
      <c r="BA48" s="23">
        <v>734500</v>
      </c>
      <c r="BB48" s="23">
        <v>549742</v>
      </c>
      <c r="BC48" s="23">
        <v>450618</v>
      </c>
      <c r="BD48" s="22">
        <v>902800</v>
      </c>
      <c r="BE48" s="22">
        <v>902800</v>
      </c>
      <c r="BF48" s="22">
        <v>902800</v>
      </c>
      <c r="BG48" s="22">
        <v>902815</v>
      </c>
      <c r="BH48" s="22">
        <v>902815</v>
      </c>
      <c r="BI48" s="23">
        <v>2156000</v>
      </c>
      <c r="BJ48" s="23">
        <v>2094600</v>
      </c>
      <c r="BK48" s="23">
        <v>2133500</v>
      </c>
      <c r="BL48" s="23">
        <v>2373309</v>
      </c>
      <c r="BM48" s="23">
        <v>2398711</v>
      </c>
      <c r="BN48" s="22">
        <v>1259600</v>
      </c>
      <c r="BO48" s="22">
        <v>1432700</v>
      </c>
      <c r="BP48" s="22">
        <v>1516900</v>
      </c>
      <c r="BQ48" s="22">
        <v>1349619</v>
      </c>
      <c r="BR48" s="22">
        <v>1280450</v>
      </c>
    </row>
    <row r="49" spans="1:70" ht="15" x14ac:dyDescent="0.2">
      <c r="A49" s="26" t="s">
        <v>194</v>
      </c>
      <c r="B49" s="14">
        <v>5561904771</v>
      </c>
      <c r="C49" s="14" t="s">
        <v>195</v>
      </c>
      <c r="D49" s="14" t="s">
        <v>67</v>
      </c>
      <c r="E49" s="15" t="s">
        <v>68</v>
      </c>
      <c r="F49" s="16">
        <f>0.115</f>
        <v>0.115</v>
      </c>
      <c r="G49" s="16">
        <v>0.1</v>
      </c>
      <c r="H49" s="16">
        <v>0.10199999999999999</v>
      </c>
      <c r="I49" s="16">
        <v>0.10199999999999999</v>
      </c>
      <c r="J49" s="16">
        <v>8.7999999999999995E-2</v>
      </c>
      <c r="K49" s="18">
        <v>8.5000000000000006E-2</v>
      </c>
      <c r="L49" s="18">
        <v>8.4000000000000005E-2</v>
      </c>
      <c r="M49" s="18">
        <v>2.1999999999999999E-2</v>
      </c>
      <c r="N49" s="18">
        <v>5.0000000000000001E-3</v>
      </c>
      <c r="O49" s="18">
        <v>1.7999999999999999E-2</v>
      </c>
      <c r="P49" s="19">
        <v>-2.5500000000000102E-3</v>
      </c>
      <c r="Q49" s="19">
        <v>-2.9762000000000001E-4</v>
      </c>
      <c r="R49" s="20">
        <v>0</v>
      </c>
      <c r="S49" s="19">
        <v>7.6778999999999997E-3</v>
      </c>
      <c r="T49" s="19">
        <v>3.4641400000000003E-2</v>
      </c>
      <c r="U49" s="34">
        <v>0</v>
      </c>
      <c r="V49" s="34">
        <v>0</v>
      </c>
      <c r="W49" s="34">
        <v>0</v>
      </c>
      <c r="X49" s="34">
        <f>85*1000</f>
        <v>85000</v>
      </c>
      <c r="Y49" s="34">
        <v>0</v>
      </c>
      <c r="Z49" s="22">
        <v>24548</v>
      </c>
      <c r="AA49" s="22">
        <v>23196</v>
      </c>
      <c r="AB49" s="22">
        <v>16440</v>
      </c>
      <c r="AC49" s="22">
        <v>20343</v>
      </c>
      <c r="AD49" s="22">
        <v>20250</v>
      </c>
      <c r="AE49" s="23">
        <v>19135052</v>
      </c>
      <c r="AF49" s="23">
        <v>18562286</v>
      </c>
      <c r="AG49" s="23">
        <v>14506224</v>
      </c>
      <c r="AH49" s="23">
        <v>11801341</v>
      </c>
      <c r="AI49" s="23">
        <v>12397218</v>
      </c>
      <c r="AJ49" s="22">
        <v>2.1386489046384614</v>
      </c>
      <c r="AK49" s="22">
        <v>2.3257037953191757</v>
      </c>
      <c r="AL49" s="22">
        <v>1.7022329863374508</v>
      </c>
      <c r="AM49" s="22">
        <v>2.4102540550264586</v>
      </c>
      <c r="AN49" s="22">
        <v>2.2036740016994134</v>
      </c>
      <c r="AO49" s="24">
        <f t="array" ref="AO49">('1100'!G49) / 100</f>
        <v>0.2261</v>
      </c>
      <c r="AP49" s="24">
        <f t="array" ref="AP49">('1100'!H49) / 100</f>
        <v>0.251</v>
      </c>
      <c r="AQ49" s="24">
        <f t="array" ref="AQ49">('1100'!I49) / 100</f>
        <v>0.23379999999999998</v>
      </c>
      <c r="AR49" s="24">
        <f t="array" ref="AR49">('1100'!J49) / 100</f>
        <v>0.2107</v>
      </c>
      <c r="AS49" s="24">
        <f t="array" ref="AS49">('1100'!K49) / 100</f>
        <v>0.23</v>
      </c>
      <c r="AT49" s="25">
        <f t="array" ref="AT49">('1100'!A49) / 100</f>
        <v>0.59299999999999997</v>
      </c>
      <c r="AU49" s="25">
        <f t="array" ref="AU49">('1100'!B49) / 100</f>
        <v>0.59699999999999998</v>
      </c>
      <c r="AV49" s="25">
        <f t="array" ref="AV49">('1100'!C49) / 100</f>
        <v>0.62</v>
      </c>
      <c r="AW49" s="25">
        <f t="array" ref="AW49">('1100'!D49) / 100</f>
        <v>0.55399999999999994</v>
      </c>
      <c r="AX49" s="25">
        <f t="array" ref="AX49">('1100'!E49) / 100</f>
        <v>0.57200000000000006</v>
      </c>
      <c r="AY49" s="23">
        <v>62507097</v>
      </c>
      <c r="AZ49" s="23">
        <v>59481611</v>
      </c>
      <c r="BA49" s="23">
        <v>46624514</v>
      </c>
      <c r="BB49" s="23">
        <v>39300339</v>
      </c>
      <c r="BC49" s="23">
        <v>41558415</v>
      </c>
      <c r="BD49" s="22">
        <v>11915994</v>
      </c>
      <c r="BE49" s="22">
        <v>106763719</v>
      </c>
      <c r="BF49" s="22">
        <v>84109862</v>
      </c>
      <c r="BG49" s="22">
        <v>57251702</v>
      </c>
      <c r="BH49" s="22">
        <v>55970820</v>
      </c>
      <c r="BI49" s="23">
        <v>187342645</v>
      </c>
      <c r="BJ49" s="23">
        <v>183253899</v>
      </c>
      <c r="BK49" s="23">
        <v>144477979</v>
      </c>
      <c r="BL49" s="23">
        <v>107403133</v>
      </c>
      <c r="BM49" s="23">
        <v>110742348</v>
      </c>
      <c r="BN49" s="22">
        <v>111114234</v>
      </c>
      <c r="BO49" s="22">
        <v>109329518</v>
      </c>
      <c r="BP49" s="22">
        <v>89506645</v>
      </c>
      <c r="BQ49" s="22">
        <v>59551564</v>
      </c>
      <c r="BR49" s="22">
        <v>63347306</v>
      </c>
    </row>
    <row r="50" spans="1:70" ht="15" x14ac:dyDescent="0.2">
      <c r="A50" s="26" t="s">
        <v>196</v>
      </c>
      <c r="B50" s="14">
        <v>5561686360</v>
      </c>
      <c r="C50" s="14" t="s">
        <v>197</v>
      </c>
      <c r="D50" s="14" t="s">
        <v>67</v>
      </c>
      <c r="E50" s="15" t="s">
        <v>90</v>
      </c>
      <c r="F50" s="16">
        <f>13.5%</f>
        <v>0.13500000000000001</v>
      </c>
      <c r="G50" s="16">
        <f>0.156</f>
        <v>0.156</v>
      </c>
      <c r="H50" s="16">
        <v>0.123</v>
      </c>
      <c r="I50" s="16">
        <f>0.127</f>
        <v>0.127</v>
      </c>
      <c r="J50" s="16">
        <f>0.156</f>
        <v>0.156</v>
      </c>
      <c r="K50" s="18">
        <v>8.5000000000000006E-2</v>
      </c>
      <c r="L50" s="18">
        <v>8.4000000000000005E-2</v>
      </c>
      <c r="M50" s="18">
        <v>2.1999999999999999E-2</v>
      </c>
      <c r="N50" s="18">
        <v>5.0000000000000001E-3</v>
      </c>
      <c r="O50" s="18">
        <v>1.7999999999999999E-2</v>
      </c>
      <c r="P50" s="19">
        <v>-2.5500000000000102E-3</v>
      </c>
      <c r="Q50" s="19">
        <v>-2.9762000000000001E-4</v>
      </c>
      <c r="R50" s="20">
        <v>0</v>
      </c>
      <c r="S50" s="19">
        <v>7.6778999999999997E-3</v>
      </c>
      <c r="T50" s="19">
        <v>3.4641400000000003E-2</v>
      </c>
      <c r="U50" s="34">
        <v>0</v>
      </c>
      <c r="V50" s="34">
        <v>0</v>
      </c>
      <c r="W50" s="34">
        <v>0</v>
      </c>
      <c r="X50" s="34">
        <v>0</v>
      </c>
      <c r="Y50" s="34">
        <v>0</v>
      </c>
      <c r="Z50" s="22">
        <v>1935</v>
      </c>
      <c r="AA50" s="22">
        <v>1430</v>
      </c>
      <c r="AB50" s="22">
        <v>1022</v>
      </c>
      <c r="AC50" s="22">
        <v>678</v>
      </c>
      <c r="AD50" s="22">
        <v>588</v>
      </c>
      <c r="AE50" s="23">
        <v>1462000</v>
      </c>
      <c r="AF50" s="23">
        <v>1235500</v>
      </c>
      <c r="AG50" s="23">
        <v>489400</v>
      </c>
      <c r="AH50" s="23">
        <v>273481</v>
      </c>
      <c r="AI50" s="23">
        <v>196787</v>
      </c>
      <c r="AJ50" s="22">
        <v>2.7038303693570453</v>
      </c>
      <c r="AK50" s="22">
        <v>2.3671388101983002</v>
      </c>
      <c r="AL50" s="22">
        <v>4.0190028606456885</v>
      </c>
      <c r="AM50" s="22">
        <v>2.8424607193918408</v>
      </c>
      <c r="AN50" s="22">
        <v>3.0723574219841758</v>
      </c>
      <c r="AO50" s="24">
        <f t="array" ref="AO50">('1100'!G50) / 100</f>
        <v>0.16039999999999999</v>
      </c>
      <c r="AP50" s="24">
        <f t="array" ref="AP50">('1100'!H50) / 100</f>
        <v>0.16489999999999999</v>
      </c>
      <c r="AQ50" s="24">
        <f t="array" ref="AQ50">('1100'!I50) / 100</f>
        <v>0.1017</v>
      </c>
      <c r="AR50" s="24">
        <f t="array" ref="AR50">('1100'!J50) / 100</f>
        <v>8.5299999999999987E-2</v>
      </c>
      <c r="AS50" s="24">
        <f t="array" ref="AS50">('1100'!K50) / 100</f>
        <v>5.79E-2</v>
      </c>
      <c r="AT50" s="25">
        <f t="array" ref="AT50">('1100'!A50) / 100</f>
        <v>0.39</v>
      </c>
      <c r="AU50" s="25">
        <f t="array" ref="AU50">('1100'!B50) / 100</f>
        <v>0.375</v>
      </c>
      <c r="AV50" s="25">
        <f t="array" ref="AV50">('1100'!C50) / 100</f>
        <v>0.34799999999999998</v>
      </c>
      <c r="AW50" s="25">
        <f t="array" ref="AW50">('1100'!D50) / 100</f>
        <v>0.33299999999999996</v>
      </c>
      <c r="AX50" s="25">
        <f t="array" ref="AX50">('1100'!E50) / 100</f>
        <v>0.38299999999999995</v>
      </c>
      <c r="AY50" s="23">
        <v>8240000</v>
      </c>
      <c r="AZ50" s="23">
        <v>6630500</v>
      </c>
      <c r="BA50" s="23">
        <v>3524800</v>
      </c>
      <c r="BB50" s="23">
        <v>2095140</v>
      </c>
      <c r="BC50" s="23">
        <v>1856309</v>
      </c>
      <c r="BD50" s="22">
        <v>2042400</v>
      </c>
      <c r="BE50" s="22">
        <v>1064400</v>
      </c>
      <c r="BF50" s="36">
        <v>389489</v>
      </c>
      <c r="BG50" s="36">
        <v>257200</v>
      </c>
      <c r="BH50" s="36">
        <v>257200</v>
      </c>
      <c r="BI50" s="23">
        <v>8733000</v>
      </c>
      <c r="BJ50" s="23">
        <v>7388400</v>
      </c>
      <c r="BK50" s="23">
        <v>4715200</v>
      </c>
      <c r="BL50" s="23">
        <v>1953262</v>
      </c>
      <c r="BM50" s="23">
        <v>1497856</v>
      </c>
      <c r="BN50" s="22">
        <v>3402000</v>
      </c>
      <c r="BO50" s="22">
        <v>2768200</v>
      </c>
      <c r="BP50" s="22">
        <v>1642100</v>
      </c>
      <c r="BQ50" s="22">
        <v>649535</v>
      </c>
      <c r="BR50" s="22">
        <v>574400</v>
      </c>
    </row>
    <row r="51" spans="1:70" ht="14" x14ac:dyDescent="0.2">
      <c r="A51" s="13" t="s">
        <v>198</v>
      </c>
      <c r="B51" s="14">
        <v>5561089631</v>
      </c>
      <c r="C51" s="14" t="s">
        <v>199</v>
      </c>
      <c r="D51" s="14" t="s">
        <v>67</v>
      </c>
      <c r="E51" s="15" t="s">
        <v>82</v>
      </c>
      <c r="F51" s="16">
        <v>8.4000000000000005E-2</v>
      </c>
      <c r="G51" s="16">
        <v>0.11</v>
      </c>
      <c r="H51" s="16">
        <v>9.6000000000000002E-2</v>
      </c>
      <c r="I51" s="16">
        <v>9.1999999999999998E-2</v>
      </c>
      <c r="J51" s="16">
        <v>0.09</v>
      </c>
      <c r="K51" s="18">
        <v>8.5000000000000006E-2</v>
      </c>
      <c r="L51" s="18">
        <v>8.4000000000000005E-2</v>
      </c>
      <c r="M51" s="18">
        <v>2.1999999999999999E-2</v>
      </c>
      <c r="N51" s="18">
        <v>5.0000000000000001E-3</v>
      </c>
      <c r="O51" s="18">
        <v>1.7999999999999999E-2</v>
      </c>
      <c r="P51" s="19">
        <v>-2.5500000000000102E-3</v>
      </c>
      <c r="Q51" s="19">
        <v>-2.9762000000000001E-4</v>
      </c>
      <c r="R51" s="20">
        <v>0</v>
      </c>
      <c r="S51" s="19">
        <v>7.6778999999999997E-3</v>
      </c>
      <c r="T51" s="19">
        <v>3.4641400000000003E-2</v>
      </c>
      <c r="U51" s="21">
        <v>0</v>
      </c>
      <c r="V51" s="21">
        <v>0</v>
      </c>
      <c r="W51" s="21">
        <v>0</v>
      </c>
      <c r="X51" s="21">
        <v>0</v>
      </c>
      <c r="Y51" s="21">
        <v>0</v>
      </c>
      <c r="Z51" s="22">
        <v>5054</v>
      </c>
      <c r="AA51" s="22">
        <v>5101</v>
      </c>
      <c r="AB51" s="22">
        <v>4688</v>
      </c>
      <c r="AC51" s="22">
        <v>4657</v>
      </c>
      <c r="AD51" s="22">
        <v>4844</v>
      </c>
      <c r="AE51" s="23">
        <v>4122000</v>
      </c>
      <c r="AF51" s="23">
        <v>3677000</v>
      </c>
      <c r="AG51" s="23">
        <v>3074000</v>
      </c>
      <c r="AH51" s="23">
        <v>2375000</v>
      </c>
      <c r="AI51" s="23">
        <v>2490000</v>
      </c>
      <c r="AJ51" s="22">
        <v>0.26855895196506552</v>
      </c>
      <c r="AK51" s="22">
        <v>0.81452270872994292</v>
      </c>
      <c r="AL51" s="22">
        <v>0.33409238776837996</v>
      </c>
      <c r="AM51" s="22">
        <v>1.3987368421052631</v>
      </c>
      <c r="AN51" s="22">
        <v>1.3775100401606426</v>
      </c>
      <c r="AO51" s="24">
        <f t="array" ref="AO51">('1100'!G51) / 100</f>
        <v>0.16570000000000001</v>
      </c>
      <c r="AP51" s="24">
        <f t="array" ref="AP51">('1100'!H51) / 100</f>
        <v>0.15210000000000001</v>
      </c>
      <c r="AQ51" s="24">
        <f t="array" ref="AQ51">('1100'!I51) / 100</f>
        <v>0.19409999999999999</v>
      </c>
      <c r="AR51" s="24">
        <f t="array" ref="AR51">('1100'!J51) / 100</f>
        <v>0.14730000000000001</v>
      </c>
      <c r="AS51" s="24">
        <f t="array" ref="AS51">('1100'!K51) / 100</f>
        <v>0.1333</v>
      </c>
      <c r="AT51" s="25">
        <f t="array" ref="AT51">('1100'!A51) / 100</f>
        <v>0.64800000000000002</v>
      </c>
      <c r="AU51" s="25">
        <f t="array" ref="AU51">('1100'!B51) / 100</f>
        <v>0.58499999999999996</v>
      </c>
      <c r="AV51" s="25">
        <f t="array" ref="AV51">('1100'!C51) / 100</f>
        <v>0.64900000000000002</v>
      </c>
      <c r="AW51" s="25">
        <f t="array" ref="AW51">('1100'!D51) / 100</f>
        <v>0.60599999999999998</v>
      </c>
      <c r="AX51" s="25">
        <f t="array" ref="AX51">('1100'!E51) / 100</f>
        <v>0.56000000000000005</v>
      </c>
      <c r="AY51" s="23">
        <v>22113000</v>
      </c>
      <c r="AZ51" s="23">
        <v>22308000</v>
      </c>
      <c r="BA51" s="23">
        <v>16683000</v>
      </c>
      <c r="BB51" s="23">
        <v>13445000</v>
      </c>
      <c r="BC51" s="23">
        <v>15530000</v>
      </c>
      <c r="BD51" s="22">
        <v>12501000</v>
      </c>
      <c r="BE51" s="22">
        <v>12678000</v>
      </c>
      <c r="BF51" s="22">
        <v>9724000</v>
      </c>
      <c r="BG51" s="22">
        <v>7927000</v>
      </c>
      <c r="BH51" s="22">
        <v>8723000</v>
      </c>
      <c r="BI51" s="23">
        <v>22507000</v>
      </c>
      <c r="BJ51" s="23">
        <v>23553000</v>
      </c>
      <c r="BK51" s="23">
        <v>17963000</v>
      </c>
      <c r="BL51" s="23">
        <v>15073000</v>
      </c>
      <c r="BM51" s="23">
        <v>17425000</v>
      </c>
      <c r="BN51" s="22">
        <v>14577000</v>
      </c>
      <c r="BO51" s="22">
        <v>13767000</v>
      </c>
      <c r="BP51" s="22">
        <v>11650000</v>
      </c>
      <c r="BQ51" s="22">
        <v>9133000</v>
      </c>
      <c r="BR51" s="22">
        <v>9756000</v>
      </c>
    </row>
    <row r="52" spans="1:70" ht="14" x14ac:dyDescent="0.2">
      <c r="A52" s="13" t="s">
        <v>200</v>
      </c>
      <c r="B52" s="14">
        <v>5567608475</v>
      </c>
      <c r="C52" s="14" t="s">
        <v>201</v>
      </c>
      <c r="D52" s="14" t="s">
        <v>67</v>
      </c>
      <c r="E52" s="15" t="s">
        <v>68</v>
      </c>
      <c r="F52" s="16">
        <v>9.8000000000000004E-2</v>
      </c>
      <c r="G52" s="16">
        <v>9.2999999999999999E-2</v>
      </c>
      <c r="H52" s="16">
        <v>7.1999999999999995E-2</v>
      </c>
      <c r="I52" s="16">
        <v>7.8E-2</v>
      </c>
      <c r="J52" s="16">
        <v>7.6999999999999999E-2</v>
      </c>
      <c r="K52" s="18">
        <v>8.5000000000000006E-2</v>
      </c>
      <c r="L52" s="18">
        <v>8.4000000000000005E-2</v>
      </c>
      <c r="M52" s="18">
        <v>2.1999999999999999E-2</v>
      </c>
      <c r="N52" s="18">
        <v>5.0000000000000001E-3</v>
      </c>
      <c r="O52" s="18">
        <v>1.7999999999999999E-2</v>
      </c>
      <c r="P52" s="19">
        <v>-2.5500000000000102E-3</v>
      </c>
      <c r="Q52" s="19">
        <v>-2.9762000000000001E-4</v>
      </c>
      <c r="R52" s="20">
        <v>0</v>
      </c>
      <c r="S52" s="19">
        <v>7.6778999999999997E-3</v>
      </c>
      <c r="T52" s="19">
        <v>3.4641400000000003E-2</v>
      </c>
      <c r="U52" s="21">
        <v>0</v>
      </c>
      <c r="V52" s="21">
        <v>0</v>
      </c>
      <c r="W52" s="21">
        <v>0</v>
      </c>
      <c r="X52" s="21">
        <v>0</v>
      </c>
      <c r="Y52" s="21">
        <v>0</v>
      </c>
      <c r="Z52" s="22">
        <v>12046</v>
      </c>
      <c r="AA52" s="22">
        <v>12291</v>
      </c>
      <c r="AB52" s="22">
        <v>0</v>
      </c>
      <c r="AC52" s="22">
        <v>10592</v>
      </c>
      <c r="AD52" s="22">
        <v>10175</v>
      </c>
      <c r="AE52" s="23">
        <v>991000</v>
      </c>
      <c r="AF52" s="23">
        <v>896000</v>
      </c>
      <c r="AG52" s="23">
        <v>0</v>
      </c>
      <c r="AH52" s="23">
        <v>842000</v>
      </c>
      <c r="AI52" s="23">
        <v>696000</v>
      </c>
      <c r="AJ52" s="22">
        <v>4.7638748738647827</v>
      </c>
      <c r="AK52" s="22">
        <v>5.640625</v>
      </c>
      <c r="AL52" s="22" t="s">
        <v>87</v>
      </c>
      <c r="AM52" s="22">
        <v>4.1888361045130642</v>
      </c>
      <c r="AN52" s="22">
        <v>6.2471264367816088</v>
      </c>
      <c r="AO52" s="24">
        <f t="array" ref="AO52">('1100'!G52) / 100</f>
        <v>4.9800000000000004E-2</v>
      </c>
      <c r="AP52" s="24">
        <f t="array" ref="AP52">('1100'!H52) / 100</f>
        <v>5.0300000000000004E-2</v>
      </c>
      <c r="AQ52" s="24">
        <f t="array" ref="AQ52">('1100'!I52) / 100</f>
        <v>0</v>
      </c>
      <c r="AR52" s="24">
        <f t="array" ref="AR52">('1100'!J52) / 100</f>
        <v>6.1399999999999996E-2</v>
      </c>
      <c r="AS52" s="24">
        <f t="array" ref="AS52">('1100'!K52) / 100</f>
        <v>6.6500000000000004E-2</v>
      </c>
      <c r="AT52" s="25">
        <f t="array" ref="AT52">('1100'!A52) / 100</f>
        <v>0.28800000000000003</v>
      </c>
      <c r="AU52" s="25">
        <f t="array" ref="AU52">('1100'!B52) / 100</f>
        <v>0.27899999999999997</v>
      </c>
      <c r="AV52" s="25">
        <f t="array" ref="AV52">('1100'!C52) / 100</f>
        <v>0.29299999999999998</v>
      </c>
      <c r="AW52" s="25">
        <f t="array" ref="AW52">('1100'!D52) / 100</f>
        <v>0.29299999999999998</v>
      </c>
      <c r="AX52" s="25">
        <f t="array" ref="AX52">('1100'!E52) / 100</f>
        <v>0.27699999999999997</v>
      </c>
      <c r="AY52" s="23">
        <v>9727000</v>
      </c>
      <c r="AZ52" s="23">
        <v>9241000</v>
      </c>
      <c r="BA52" s="23">
        <v>8176000</v>
      </c>
      <c r="BB52" s="23">
        <v>7797000</v>
      </c>
      <c r="BC52" s="23">
        <v>7467000</v>
      </c>
      <c r="BD52" s="22">
        <v>4402000</v>
      </c>
      <c r="BE52" s="22">
        <v>4409000</v>
      </c>
      <c r="BF52" s="22">
        <v>4148000</v>
      </c>
      <c r="BG52" s="22">
        <v>3815000</v>
      </c>
      <c r="BH52" s="22">
        <v>3897000</v>
      </c>
      <c r="BI52" s="23">
        <v>10029000</v>
      </c>
      <c r="BJ52" s="23">
        <v>9806000</v>
      </c>
      <c r="BK52" s="23">
        <v>9002000</v>
      </c>
      <c r="BL52" s="23">
        <v>8044000</v>
      </c>
      <c r="BM52" s="23">
        <v>8231000</v>
      </c>
      <c r="BN52" s="22">
        <v>2887000</v>
      </c>
      <c r="BO52" s="22">
        <v>2739000</v>
      </c>
      <c r="BP52" s="22">
        <v>2553000</v>
      </c>
      <c r="BQ52" s="22">
        <v>2354000</v>
      </c>
      <c r="BR52" s="22">
        <v>2284000</v>
      </c>
    </row>
    <row r="53" spans="1:70" ht="14" x14ac:dyDescent="0.2">
      <c r="A53" s="13" t="s">
        <v>202</v>
      </c>
      <c r="B53" s="14">
        <v>5560005331</v>
      </c>
      <c r="C53" s="14" t="s">
        <v>203</v>
      </c>
      <c r="D53" s="14" t="s">
        <v>67</v>
      </c>
      <c r="E53" s="15" t="s">
        <v>79</v>
      </c>
      <c r="F53" s="16">
        <v>0.11</v>
      </c>
      <c r="G53" s="16">
        <v>0.11</v>
      </c>
      <c r="H53" s="16">
        <v>0.1</v>
      </c>
      <c r="I53" s="16">
        <v>0.11</v>
      </c>
      <c r="J53" s="16">
        <v>0.11</v>
      </c>
      <c r="K53" s="18">
        <v>8.5000000000000006E-2</v>
      </c>
      <c r="L53" s="18">
        <v>8.4000000000000005E-2</v>
      </c>
      <c r="M53" s="18">
        <v>2.1999999999999999E-2</v>
      </c>
      <c r="N53" s="18">
        <v>5.0000000000000001E-3</v>
      </c>
      <c r="O53" s="18">
        <v>1.7999999999999999E-2</v>
      </c>
      <c r="P53" s="19">
        <v>-2.5500000000000102E-3</v>
      </c>
      <c r="Q53" s="19">
        <v>-2.9762000000000001E-4</v>
      </c>
      <c r="R53" s="20">
        <v>0</v>
      </c>
      <c r="S53" s="19">
        <v>7.6778999999999997E-3</v>
      </c>
      <c r="T53" s="19">
        <v>3.4641400000000003E-2</v>
      </c>
      <c r="U53" s="21">
        <v>0</v>
      </c>
      <c r="V53" s="21">
        <v>0</v>
      </c>
      <c r="W53" s="21">
        <v>0</v>
      </c>
      <c r="X53" s="21">
        <v>0</v>
      </c>
      <c r="Y53" s="21">
        <v>0</v>
      </c>
      <c r="Z53" s="22">
        <v>13755</v>
      </c>
      <c r="AA53" s="22">
        <v>14416</v>
      </c>
      <c r="AB53" s="22">
        <v>13873</v>
      </c>
      <c r="AC53" s="22">
        <v>12374</v>
      </c>
      <c r="AD53" s="22">
        <v>12708</v>
      </c>
      <c r="AE53" s="23">
        <v>6985000</v>
      </c>
      <c r="AF53" s="23">
        <v>6384000</v>
      </c>
      <c r="AG53" s="23">
        <v>7986000</v>
      </c>
      <c r="AH53" s="23">
        <v>6206000</v>
      </c>
      <c r="AI53" s="23">
        <v>5740000</v>
      </c>
      <c r="AJ53" s="22">
        <v>1.7646385110952041</v>
      </c>
      <c r="AK53" s="22">
        <v>1.6658834586466165</v>
      </c>
      <c r="AL53" s="22">
        <v>0.92536939644377658</v>
      </c>
      <c r="AM53" s="22">
        <v>2.0109571382533034</v>
      </c>
      <c r="AN53" s="22">
        <v>2.3292682926829267</v>
      </c>
      <c r="AO53" s="24">
        <f t="array" ref="AO53">('1100'!G53) / 100</f>
        <v>0.08</v>
      </c>
      <c r="AP53" s="24">
        <f t="array" ref="AP53">('1100'!H53) / 100</f>
        <v>6.2899999999999998E-2</v>
      </c>
      <c r="AQ53" s="24">
        <f t="array" ref="AQ53">('1100'!I53) / 100</f>
        <v>0.1328</v>
      </c>
      <c r="AR53" s="24">
        <f t="array" ref="AR53">('1100'!J53) / 100</f>
        <v>8.8399999999999992E-2</v>
      </c>
      <c r="AS53" s="24">
        <f t="array" ref="AS53">('1100'!K53) / 100</f>
        <v>8.77E-2</v>
      </c>
      <c r="AT53" s="25">
        <f t="array" ref="AT53">('1100'!A53) / 100</f>
        <v>0.41299999999999998</v>
      </c>
      <c r="AU53" s="25">
        <f t="array" ref="AU53">('1100'!B53) / 100</f>
        <v>0.38900000000000001</v>
      </c>
      <c r="AV53" s="25">
        <f t="array" ref="AV53">('1100'!C53) / 100</f>
        <v>0.42499999999999999</v>
      </c>
      <c r="AW53" s="25">
        <f t="array" ref="AW53">('1100'!D53) / 100</f>
        <v>0.39200000000000002</v>
      </c>
      <c r="AX53" s="25">
        <f t="array" ref="AX53">('1100'!E53) / 100</f>
        <v>0.41200000000000003</v>
      </c>
      <c r="AY53" s="23">
        <v>53290000</v>
      </c>
      <c r="AZ53" s="23">
        <v>54249000</v>
      </c>
      <c r="BA53" s="23">
        <v>47171000</v>
      </c>
      <c r="BB53" s="23">
        <v>41969000</v>
      </c>
      <c r="BC53" s="23">
        <v>42480000</v>
      </c>
      <c r="BD53" s="22">
        <v>9920000</v>
      </c>
      <c r="BE53" s="22">
        <v>10187000</v>
      </c>
      <c r="BF53" s="22">
        <v>9305000</v>
      </c>
      <c r="BG53" s="22">
        <v>6905000</v>
      </c>
      <c r="BH53" s="22">
        <v>7338000</v>
      </c>
      <c r="BI53" s="23">
        <v>57610000</v>
      </c>
      <c r="BJ53" s="23">
        <v>61636000</v>
      </c>
      <c r="BK53" s="23">
        <v>50920000</v>
      </c>
      <c r="BL53" s="23">
        <v>43518000</v>
      </c>
      <c r="BM53" s="23">
        <v>41981000</v>
      </c>
      <c r="BN53" s="22">
        <v>23770000</v>
      </c>
      <c r="BO53" s="22">
        <v>24002000</v>
      </c>
      <c r="BP53" s="22">
        <v>21633000</v>
      </c>
      <c r="BQ53" s="22">
        <v>17059000</v>
      </c>
      <c r="BR53" s="22">
        <v>17281000</v>
      </c>
    </row>
    <row r="54" spans="1:70" ht="15" x14ac:dyDescent="0.2">
      <c r="A54" s="13" t="s">
        <v>204</v>
      </c>
      <c r="B54" s="14">
        <v>5560179367</v>
      </c>
      <c r="C54" s="14" t="s">
        <v>205</v>
      </c>
      <c r="D54" s="14" t="s">
        <v>67</v>
      </c>
      <c r="E54" s="15" t="s">
        <v>68</v>
      </c>
      <c r="F54" s="16">
        <v>0.09</v>
      </c>
      <c r="G54" s="16">
        <v>0.09</v>
      </c>
      <c r="H54" s="16">
        <v>0.08</v>
      </c>
      <c r="I54" s="16">
        <v>0.08</v>
      </c>
      <c r="J54" s="16">
        <v>0.09</v>
      </c>
      <c r="K54" s="18">
        <v>8.5000000000000006E-2</v>
      </c>
      <c r="L54" s="18">
        <v>8.4000000000000005E-2</v>
      </c>
      <c r="M54" s="18">
        <v>2.1999999999999999E-2</v>
      </c>
      <c r="N54" s="18">
        <v>5.0000000000000001E-3</v>
      </c>
      <c r="O54" s="18">
        <v>1.7999999999999999E-2</v>
      </c>
      <c r="P54" s="19">
        <v>-2.5500000000000102E-3</v>
      </c>
      <c r="Q54" s="19">
        <v>-2.9762000000000001E-4</v>
      </c>
      <c r="R54" s="20">
        <v>0</v>
      </c>
      <c r="S54" s="19">
        <v>7.6778999999999997E-3</v>
      </c>
      <c r="T54" s="19">
        <v>3.4641400000000003E-2</v>
      </c>
      <c r="U54" s="34">
        <f>351*1000</f>
        <v>351000</v>
      </c>
      <c r="V54" s="34">
        <f>72*1000</f>
        <v>72000</v>
      </c>
      <c r="W54" s="34">
        <f>55*1000</f>
        <v>55000</v>
      </c>
      <c r="X54" s="34">
        <f>141*1000</f>
        <v>141000</v>
      </c>
      <c r="Y54" s="34">
        <v>0</v>
      </c>
      <c r="Z54" s="22">
        <v>9262</v>
      </c>
      <c r="AA54" s="22">
        <v>8483</v>
      </c>
      <c r="AB54" s="22">
        <v>7715</v>
      </c>
      <c r="AC54" s="22">
        <v>7349</v>
      </c>
      <c r="AD54" s="22">
        <v>7167</v>
      </c>
      <c r="AE54" s="23">
        <v>5723000</v>
      </c>
      <c r="AF54" s="23">
        <v>4878000</v>
      </c>
      <c r="AG54" s="23">
        <v>3883000</v>
      </c>
      <c r="AH54" s="23">
        <v>3262000</v>
      </c>
      <c r="AI54" s="23">
        <v>2915000</v>
      </c>
      <c r="AJ54" s="22">
        <v>1.6935173859863708</v>
      </c>
      <c r="AK54" s="22">
        <v>1.8825338253382533</v>
      </c>
      <c r="AL54" s="22">
        <v>1.6713881019830028</v>
      </c>
      <c r="AM54" s="22">
        <v>1.3645003065603925</v>
      </c>
      <c r="AN54" s="22">
        <v>1.9451114922813035</v>
      </c>
      <c r="AO54" s="24">
        <f t="array" ref="AO54">('1100'!G54) / 100</f>
        <v>0.1328</v>
      </c>
      <c r="AP54" s="24">
        <f t="array" ref="AP54">('1100'!H54) / 100</f>
        <v>0.1356</v>
      </c>
      <c r="AQ54" s="24">
        <f t="array" ref="AQ54">('1100'!I54) / 100</f>
        <v>0.13140000000000002</v>
      </c>
      <c r="AR54" s="24">
        <f t="array" ref="AR54">('1100'!J54) / 100</f>
        <v>0.11890000000000001</v>
      </c>
      <c r="AS54" s="24">
        <f t="array" ref="AS54">('1100'!K54) / 100</f>
        <v>0.1174</v>
      </c>
      <c r="AT54" s="25">
        <f t="array" ref="AT54">('1100'!A54) / 100</f>
        <v>0.46299999999999997</v>
      </c>
      <c r="AU54" s="25">
        <f t="array" ref="AU54">('1100'!B54) / 100</f>
        <v>0.442</v>
      </c>
      <c r="AV54" s="25">
        <f t="array" ref="AV54">('1100'!C54) / 100</f>
        <v>0.46799999999999997</v>
      </c>
      <c r="AW54" s="25">
        <f t="array" ref="AW54">('1100'!D54) / 100</f>
        <v>0.48</v>
      </c>
      <c r="AX54" s="25">
        <f t="array" ref="AX54">('1100'!E54) / 100</f>
        <v>0.40799999999999997</v>
      </c>
      <c r="AY54" s="23">
        <v>32500000</v>
      </c>
      <c r="AZ54" s="23">
        <v>27341000</v>
      </c>
      <c r="BA54" s="23">
        <v>21863000</v>
      </c>
      <c r="BB54" s="23">
        <v>19562000</v>
      </c>
      <c r="BC54" s="23">
        <v>18564000</v>
      </c>
      <c r="BD54" s="22">
        <v>8271000</v>
      </c>
      <c r="BE54" s="22">
        <v>7649000</v>
      </c>
      <c r="BF54" s="22">
        <v>5439000</v>
      </c>
      <c r="BG54" s="22">
        <v>4306000</v>
      </c>
      <c r="BH54" s="22">
        <v>4031000</v>
      </c>
      <c r="BI54" s="23">
        <v>31276000</v>
      </c>
      <c r="BJ54" s="23">
        <v>28862000</v>
      </c>
      <c r="BK54" s="23">
        <v>22000000</v>
      </c>
      <c r="BL54" s="23">
        <v>17962000</v>
      </c>
      <c r="BM54" s="23">
        <v>17544000</v>
      </c>
      <c r="BN54" s="22">
        <v>14475000</v>
      </c>
      <c r="BO54" s="22">
        <v>12759000</v>
      </c>
      <c r="BP54" s="22">
        <v>10292000</v>
      </c>
      <c r="BQ54" s="22">
        <v>8624000</v>
      </c>
      <c r="BR54" s="22">
        <v>7157000</v>
      </c>
    </row>
    <row r="55" spans="1:70" ht="15" x14ac:dyDescent="0.2">
      <c r="A55" s="13" t="s">
        <v>206</v>
      </c>
      <c r="B55" s="14">
        <v>5560263237</v>
      </c>
      <c r="C55" s="14" t="s">
        <v>207</v>
      </c>
      <c r="D55" s="14" t="s">
        <v>67</v>
      </c>
      <c r="E55" s="15" t="s">
        <v>82</v>
      </c>
      <c r="F55" s="16">
        <v>9.6699999999999994E-2</v>
      </c>
      <c r="G55" s="16">
        <v>0.1043</v>
      </c>
      <c r="H55" s="16">
        <v>8.4900000000000003E-2</v>
      </c>
      <c r="I55" s="16">
        <v>9.7100000000000006E-2</v>
      </c>
      <c r="J55" s="16">
        <v>0.1</v>
      </c>
      <c r="K55" s="18">
        <v>8.5000000000000006E-2</v>
      </c>
      <c r="L55" s="18">
        <v>8.4000000000000005E-2</v>
      </c>
      <c r="M55" s="18">
        <v>2.1999999999999999E-2</v>
      </c>
      <c r="N55" s="18">
        <v>5.0000000000000001E-3</v>
      </c>
      <c r="O55" s="18">
        <v>1.7999999999999999E-2</v>
      </c>
      <c r="P55" s="19">
        <v>-2.5500000000000102E-3</v>
      </c>
      <c r="Q55" s="19">
        <v>-2.9762000000000001E-4</v>
      </c>
      <c r="R55" s="20">
        <v>0</v>
      </c>
      <c r="S55" s="19">
        <v>7.6778999999999997E-3</v>
      </c>
      <c r="T55" s="19">
        <v>3.4641400000000003E-2</v>
      </c>
      <c r="U55" s="34">
        <f>115*1000</f>
        <v>115000</v>
      </c>
      <c r="V55" s="34">
        <v>0</v>
      </c>
      <c r="W55" s="34">
        <v>0</v>
      </c>
      <c r="X55" s="34">
        <v>0</v>
      </c>
      <c r="Y55" s="34">
        <f>56*1000</f>
        <v>56000</v>
      </c>
      <c r="Z55" s="22">
        <v>8448</v>
      </c>
      <c r="AA55" s="22">
        <v>8375</v>
      </c>
      <c r="AB55" s="22">
        <v>7684</v>
      </c>
      <c r="AC55" s="22">
        <v>6262</v>
      </c>
      <c r="AD55" s="22">
        <v>5873</v>
      </c>
      <c r="AE55" s="23">
        <v>4310000</v>
      </c>
      <c r="AF55" s="23">
        <v>3839000</v>
      </c>
      <c r="AG55" s="23">
        <v>3129000</v>
      </c>
      <c r="AH55" s="23">
        <v>2481000</v>
      </c>
      <c r="AI55" s="23">
        <v>2227000</v>
      </c>
      <c r="AJ55" s="22">
        <v>3.2501160092807426</v>
      </c>
      <c r="AK55" s="22">
        <v>3.8533472258400625</v>
      </c>
      <c r="AL55" s="22">
        <v>3.7011824864173857</v>
      </c>
      <c r="AM55" s="22">
        <v>3.9476017734784361</v>
      </c>
      <c r="AN55" s="22">
        <v>4.2123933542882801</v>
      </c>
      <c r="AO55" s="24">
        <f t="array" ref="AO55">('1100'!G55) / 100</f>
        <v>0.2802</v>
      </c>
      <c r="AP55" s="24">
        <f t="array" ref="AP55">('1100'!H55) / 100</f>
        <v>0.222</v>
      </c>
      <c r="AQ55" s="24">
        <f t="array" ref="AQ55">('1100'!I55) / 100</f>
        <v>0.27649999999999997</v>
      </c>
      <c r="AR55" s="24">
        <f t="array" ref="AR55">('1100'!J55) / 100</f>
        <v>0.40360000000000001</v>
      </c>
      <c r="AS55" s="24">
        <f t="array" ref="AS55">('1100'!K55) / 100</f>
        <v>0.42549999999999999</v>
      </c>
      <c r="AT55" s="25">
        <f t="array" ref="AT55">('1100'!A55) / 100</f>
        <v>0.67799999999999994</v>
      </c>
      <c r="AU55" s="25">
        <f t="array" ref="AU55">('1100'!B55) / 100</f>
        <v>0.65300000000000002</v>
      </c>
      <c r="AV55" s="25">
        <f t="array" ref="AV55">('1100'!C55) / 100</f>
        <v>0.65799999999999992</v>
      </c>
      <c r="AW55" s="25">
        <f t="array" ref="AW55">('1100'!D55) / 100</f>
        <v>0.69099999999999995</v>
      </c>
      <c r="AX55" s="25">
        <f t="array" ref="AX55">('1100'!E55) / 100</f>
        <v>0.67400000000000004</v>
      </c>
      <c r="AY55" s="23">
        <v>25804000</v>
      </c>
      <c r="AZ55" s="23">
        <v>22949000</v>
      </c>
      <c r="BA55" s="23">
        <v>18757000</v>
      </c>
      <c r="BB55" s="23">
        <v>15162000</v>
      </c>
      <c r="BC55" s="23">
        <v>13922000</v>
      </c>
      <c r="BD55" s="22">
        <v>14438000</v>
      </c>
      <c r="BE55" s="22">
        <v>14425000</v>
      </c>
      <c r="BF55" s="22">
        <v>12266000</v>
      </c>
      <c r="BG55" s="22">
        <v>10063000</v>
      </c>
      <c r="BH55" s="22">
        <v>9913000</v>
      </c>
      <c r="BI55" s="23">
        <v>60265000</v>
      </c>
      <c r="BJ55" s="23">
        <v>58156000</v>
      </c>
      <c r="BK55" s="23">
        <v>47937000</v>
      </c>
      <c r="BL55" s="23">
        <v>42087000</v>
      </c>
      <c r="BM55" s="23">
        <v>38602000</v>
      </c>
      <c r="BN55" s="22">
        <v>40843000</v>
      </c>
      <c r="BO55" s="22">
        <v>37969000</v>
      </c>
      <c r="BP55" s="22">
        <v>31553000</v>
      </c>
      <c r="BQ55" s="22">
        <v>29067000</v>
      </c>
      <c r="BR55" s="22">
        <v>26010000</v>
      </c>
    </row>
    <row r="56" spans="1:70" ht="15" x14ac:dyDescent="0.2">
      <c r="A56" s="26" t="s">
        <v>208</v>
      </c>
      <c r="B56" s="14">
        <v>5566510987</v>
      </c>
      <c r="C56" s="14" t="s">
        <v>209</v>
      </c>
      <c r="D56" s="14" t="s">
        <v>67</v>
      </c>
      <c r="E56" s="15" t="s">
        <v>210</v>
      </c>
      <c r="F56" s="16">
        <v>0.125</v>
      </c>
      <c r="G56" s="16">
        <v>0.112</v>
      </c>
      <c r="H56" s="16">
        <v>0.108</v>
      </c>
      <c r="I56" s="16">
        <v>0.108</v>
      </c>
      <c r="J56" s="16">
        <v>0.10299999999999999</v>
      </c>
      <c r="K56" s="18">
        <v>8.5000000000000006E-2</v>
      </c>
      <c r="L56" s="18">
        <v>8.4000000000000005E-2</v>
      </c>
      <c r="M56" s="18">
        <v>2.1999999999999999E-2</v>
      </c>
      <c r="N56" s="18">
        <v>5.0000000000000001E-3</v>
      </c>
      <c r="O56" s="18">
        <v>1.7999999999999999E-2</v>
      </c>
      <c r="P56" s="19">
        <v>-2.5500000000000102E-3</v>
      </c>
      <c r="Q56" s="19">
        <v>-2.9762000000000001E-4</v>
      </c>
      <c r="R56" s="20">
        <v>0</v>
      </c>
      <c r="S56" s="19">
        <v>7.6778999999999997E-3</v>
      </c>
      <c r="T56" s="19">
        <v>3.4641400000000003E-2</v>
      </c>
      <c r="U56" s="21">
        <v>0</v>
      </c>
      <c r="V56" s="21">
        <v>0</v>
      </c>
      <c r="W56" s="21">
        <v>0</v>
      </c>
      <c r="X56" s="21">
        <v>0</v>
      </c>
      <c r="Y56" s="21">
        <v>0</v>
      </c>
      <c r="Z56" s="22">
        <v>216</v>
      </c>
      <c r="AA56" s="22">
        <v>199</v>
      </c>
      <c r="AB56" s="22">
        <v>180</v>
      </c>
      <c r="AC56" s="22">
        <v>115</v>
      </c>
      <c r="AD56" s="22">
        <v>92</v>
      </c>
      <c r="AE56" s="23">
        <v>276800</v>
      </c>
      <c r="AF56" s="23">
        <v>113000</v>
      </c>
      <c r="AG56" s="23">
        <v>69900</v>
      </c>
      <c r="AH56" s="23">
        <v>108100</v>
      </c>
      <c r="AI56" s="23">
        <v>142600</v>
      </c>
      <c r="AJ56" s="22">
        <v>9.7182080924855488E-2</v>
      </c>
      <c r="AK56" s="22">
        <v>1.023008849557522</v>
      </c>
      <c r="AL56" s="22">
        <v>2.1030042918454934</v>
      </c>
      <c r="AM56" s="22">
        <v>0.37095282146160963</v>
      </c>
      <c r="AN56" s="22">
        <v>0.19985974754558206</v>
      </c>
      <c r="AO56" s="24">
        <f t="array" ref="AO56">('1100'!G56) / 100</f>
        <v>0.20319999999999999</v>
      </c>
      <c r="AP56" s="24">
        <f t="array" ref="AP56">('1100'!H56) / 100</f>
        <v>8.9399999999999993E-2</v>
      </c>
      <c r="AQ56" s="24">
        <f t="array" ref="AQ56">('1100'!I56) / 100</f>
        <v>4.3799999999999999E-2</v>
      </c>
      <c r="AR56" s="24">
        <f t="array" ref="AR56">('1100'!J56) / 100</f>
        <v>0.1825</v>
      </c>
      <c r="AS56" s="24">
        <f t="array" ref="AS56">('1100'!K56) / 100</f>
        <v>0.26200000000000001</v>
      </c>
      <c r="AT56" s="25">
        <f t="array" ref="AT56">('1100'!A56) / 100</f>
        <v>0.68400000000000005</v>
      </c>
      <c r="AU56" s="25">
        <f t="array" ref="AU56">('1100'!B56) / 100</f>
        <v>0.63800000000000001</v>
      </c>
      <c r="AV56" s="25">
        <f t="array" ref="AV56">('1100'!C56) / 100</f>
        <v>0.60499999999999998</v>
      </c>
      <c r="AW56" s="25">
        <f t="array" ref="AW56">('1100'!D56) / 100</f>
        <v>0.73499999999999999</v>
      </c>
      <c r="AX56" s="25">
        <f t="array" ref="AX56">('1100'!E56) / 100</f>
        <v>0.76300000000000001</v>
      </c>
      <c r="AY56" s="23">
        <v>1238500</v>
      </c>
      <c r="AZ56" s="23">
        <v>775500</v>
      </c>
      <c r="BA56" s="23">
        <v>593000</v>
      </c>
      <c r="BB56" s="23">
        <v>532000</v>
      </c>
      <c r="BC56" s="23">
        <v>513800</v>
      </c>
      <c r="BD56" s="22">
        <v>58000</v>
      </c>
      <c r="BE56" s="22">
        <v>56200</v>
      </c>
      <c r="BF56" s="22">
        <v>54500</v>
      </c>
      <c r="BG56" s="22">
        <v>54500</v>
      </c>
      <c r="BH56" s="22">
        <v>0</v>
      </c>
      <c r="BI56" s="23">
        <v>1053000</v>
      </c>
      <c r="BJ56" s="23">
        <v>799900</v>
      </c>
      <c r="BK56" s="23">
        <v>690000</v>
      </c>
      <c r="BL56" s="23">
        <v>515800</v>
      </c>
      <c r="BM56" s="23">
        <v>479700</v>
      </c>
      <c r="BN56" s="22">
        <v>720400</v>
      </c>
      <c r="BO56" s="22">
        <v>510000</v>
      </c>
      <c r="BP56" s="22">
        <v>417500</v>
      </c>
      <c r="BQ56" s="22">
        <v>378900</v>
      </c>
      <c r="BR56" s="22">
        <v>366000</v>
      </c>
    </row>
    <row r="57" spans="1:70" ht="15" x14ac:dyDescent="0.2">
      <c r="A57" s="26" t="s">
        <v>211</v>
      </c>
      <c r="B57" s="14">
        <v>5566333828</v>
      </c>
      <c r="C57" s="14" t="s">
        <v>212</v>
      </c>
      <c r="D57" s="14" t="s">
        <v>67</v>
      </c>
      <c r="E57" s="15" t="s">
        <v>79</v>
      </c>
      <c r="F57" s="16">
        <v>9.2999999999999999E-2</v>
      </c>
      <c r="G57" s="16">
        <v>8.7999999999999995E-2</v>
      </c>
      <c r="H57" s="16">
        <v>8.1000000000000003E-2</v>
      </c>
      <c r="I57" s="16">
        <v>8.1000000000000003E-2</v>
      </c>
      <c r="J57" s="16">
        <v>0.08</v>
      </c>
      <c r="K57" s="18">
        <v>8.5000000000000006E-2</v>
      </c>
      <c r="L57" s="18">
        <v>8.4000000000000005E-2</v>
      </c>
      <c r="M57" s="18">
        <v>2.1999999999999999E-2</v>
      </c>
      <c r="N57" s="18">
        <v>5.0000000000000001E-3</v>
      </c>
      <c r="O57" s="18">
        <v>1.7999999999999999E-2</v>
      </c>
      <c r="P57" s="19">
        <v>-2.5500000000000102E-3</v>
      </c>
      <c r="Q57" s="19">
        <v>-2.9762000000000001E-4</v>
      </c>
      <c r="R57" s="20">
        <v>0</v>
      </c>
      <c r="S57" s="19">
        <v>7.6778999999999997E-3</v>
      </c>
      <c r="T57" s="19">
        <v>3.4641400000000003E-2</v>
      </c>
      <c r="U57" s="21">
        <v>0</v>
      </c>
      <c r="V57" s="21">
        <v>0</v>
      </c>
      <c r="W57" s="21">
        <v>0</v>
      </c>
      <c r="X57" s="21">
        <v>0</v>
      </c>
      <c r="Y57" s="21">
        <v>0</v>
      </c>
      <c r="Z57" s="22">
        <v>4708</v>
      </c>
      <c r="AA57" s="22">
        <v>4854</v>
      </c>
      <c r="AB57" s="22">
        <v>4585</v>
      </c>
      <c r="AC57" s="22">
        <v>4345</v>
      </c>
      <c r="AD57" s="22">
        <v>4356</v>
      </c>
      <c r="AE57" s="23">
        <v>1209700</v>
      </c>
      <c r="AF57" s="23">
        <v>1261300</v>
      </c>
      <c r="AG57" s="23">
        <v>1151000</v>
      </c>
      <c r="AH57" s="23">
        <v>854700</v>
      </c>
      <c r="AI57" s="23">
        <v>773600</v>
      </c>
      <c r="AJ57" s="22">
        <v>1.8597172852773416</v>
      </c>
      <c r="AK57" s="22">
        <v>1.6748592721794973</v>
      </c>
      <c r="AL57" s="22">
        <v>1.5658557775847088</v>
      </c>
      <c r="AM57" s="22">
        <v>2.6432666432666432</v>
      </c>
      <c r="AN57" s="22">
        <v>3.0836349534643226</v>
      </c>
      <c r="AO57" s="24">
        <f t="array" ref="AO57">('1100'!G57) / 100</f>
        <v>0.1167</v>
      </c>
      <c r="AP57" s="24">
        <f t="array" ref="AP57">('1100'!H57) / 100</f>
        <v>0.1143</v>
      </c>
      <c r="AQ57" s="24">
        <f t="array" ref="AQ57">('1100'!I57) / 100</f>
        <v>0.1211</v>
      </c>
      <c r="AR57" s="24">
        <f t="array" ref="AR57">('1100'!J57) / 100</f>
        <v>0.1042</v>
      </c>
      <c r="AS57" s="24">
        <f t="array" ref="AS57">('1100'!K57) / 100</f>
        <v>9.4899999999999998E-2</v>
      </c>
      <c r="AT57" s="25">
        <f t="array" ref="AT57">('1100'!A57) / 100</f>
        <v>0.54299999999999993</v>
      </c>
      <c r="AU57" s="25">
        <f t="array" ref="AU57">('1100'!B57) / 100</f>
        <v>0.54100000000000004</v>
      </c>
      <c r="AV57" s="25">
        <f t="array" ref="AV57">('1100'!C57) / 100</f>
        <v>0.55000000000000004</v>
      </c>
      <c r="AW57" s="25">
        <f t="array" ref="AW57">('1100'!D57) / 100</f>
        <v>0.51800000000000002</v>
      </c>
      <c r="AX57" s="25">
        <f t="array" ref="AX57">('1100'!E57) / 100</f>
        <v>0.505</v>
      </c>
      <c r="AY57" s="23">
        <v>9020200</v>
      </c>
      <c r="AZ57" s="23">
        <v>9584400</v>
      </c>
      <c r="BA57" s="23">
        <v>7747100</v>
      </c>
      <c r="BB57" s="23">
        <v>6704900</v>
      </c>
      <c r="BC57" s="23">
        <v>6654300</v>
      </c>
      <c r="BD57" s="22">
        <v>5010000</v>
      </c>
      <c r="BE57" s="22">
        <v>4835000</v>
      </c>
      <c r="BF57" s="22">
        <v>4314800</v>
      </c>
      <c r="BG57" s="22">
        <v>4337000</v>
      </c>
      <c r="BH57" s="22">
        <v>4337000</v>
      </c>
      <c r="BI57" s="23">
        <v>9677200</v>
      </c>
      <c r="BJ57" s="23">
        <v>9785800</v>
      </c>
      <c r="BK57" s="23">
        <v>8437200</v>
      </c>
      <c r="BL57" s="23">
        <v>8016900</v>
      </c>
      <c r="BM57" s="23">
        <v>7470600</v>
      </c>
      <c r="BN57" s="22">
        <v>5253400</v>
      </c>
      <c r="BO57" s="22">
        <v>5289600</v>
      </c>
      <c r="BP57" s="22">
        <v>4642100</v>
      </c>
      <c r="BQ57" s="22">
        <v>4154900</v>
      </c>
      <c r="BR57" s="22">
        <v>3775600</v>
      </c>
    </row>
    <row r="58" spans="1:70" ht="15" x14ac:dyDescent="0.2">
      <c r="A58" s="26" t="s">
        <v>213</v>
      </c>
      <c r="B58" s="14">
        <v>5560452103</v>
      </c>
      <c r="C58" s="14" t="s">
        <v>214</v>
      </c>
      <c r="D58" s="14" t="s">
        <v>67</v>
      </c>
      <c r="E58" s="15" t="s">
        <v>215</v>
      </c>
      <c r="F58" s="16">
        <v>0.08</v>
      </c>
      <c r="G58" s="16">
        <v>0.08</v>
      </c>
      <c r="H58" s="16">
        <v>0.08</v>
      </c>
      <c r="I58" s="16">
        <v>0.08</v>
      </c>
      <c r="J58" s="16">
        <v>0.08</v>
      </c>
      <c r="K58" s="18">
        <v>8.5000000000000006E-2</v>
      </c>
      <c r="L58" s="18">
        <v>8.4000000000000005E-2</v>
      </c>
      <c r="M58" s="18">
        <v>2.1999999999999999E-2</v>
      </c>
      <c r="N58" s="18">
        <v>5.0000000000000001E-3</v>
      </c>
      <c r="O58" s="18">
        <v>1.7999999999999999E-2</v>
      </c>
      <c r="P58" s="19">
        <v>-2.5500000000000102E-3</v>
      </c>
      <c r="Q58" s="19">
        <v>-2.9762000000000001E-4</v>
      </c>
      <c r="R58" s="20">
        <v>0</v>
      </c>
      <c r="S58" s="19">
        <v>7.6778999999999997E-3</v>
      </c>
      <c r="T58" s="19">
        <v>3.46414000000001E-2</v>
      </c>
      <c r="U58" s="21">
        <v>0</v>
      </c>
      <c r="V58" s="21">
        <v>0</v>
      </c>
      <c r="W58" s="21">
        <v>0</v>
      </c>
      <c r="X58" s="21">
        <v>0</v>
      </c>
      <c r="Y58" s="21">
        <v>0</v>
      </c>
      <c r="Z58" s="22">
        <v>2382</v>
      </c>
      <c r="AA58" s="22">
        <v>2472</v>
      </c>
      <c r="AB58" s="22">
        <v>2461</v>
      </c>
      <c r="AC58" s="22">
        <v>2600</v>
      </c>
      <c r="AD58" s="22">
        <v>2598</v>
      </c>
      <c r="AE58" s="23">
        <v>1514000</v>
      </c>
      <c r="AF58" s="23">
        <v>2025000</v>
      </c>
      <c r="AG58" s="23">
        <v>2232000</v>
      </c>
      <c r="AH58" s="23">
        <v>2025000</v>
      </c>
      <c r="AI58" s="23">
        <v>1991000</v>
      </c>
      <c r="AJ58" s="22">
        <v>10.758256274768824</v>
      </c>
      <c r="AK58" s="22">
        <v>4.9501234567901236</v>
      </c>
      <c r="AL58" s="22">
        <v>4.1433691756272397</v>
      </c>
      <c r="AM58" s="22">
        <v>2.373827160493827</v>
      </c>
      <c r="AN58" s="22">
        <v>2.6675037669512807</v>
      </c>
      <c r="AO58" s="24">
        <f t="array" ref="AO58">('1100'!G58) / 100</f>
        <v>9.6600000000000005E-2</v>
      </c>
      <c r="AP58" s="24">
        <f t="array" ref="AP58">('1100'!H58) / 100</f>
        <v>0.1295</v>
      </c>
      <c r="AQ58" s="24">
        <f t="array" ref="AQ58">('1100'!I58) / 100</f>
        <v>0.1426</v>
      </c>
      <c r="AR58" s="24">
        <f t="array" ref="AR58">('1100'!J58) / 100</f>
        <v>0.1242</v>
      </c>
      <c r="AS58" s="24">
        <f t="array" ref="AS58">('1100'!K58) / 100</f>
        <v>0.12740000000000001</v>
      </c>
      <c r="AT58" s="25">
        <f t="array" ref="AT58">('1100'!A58) / 100</f>
        <v>0.26500000000000001</v>
      </c>
      <c r="AU58" s="25">
        <f t="array" ref="AU58">('1100'!B58) / 100</f>
        <v>0.35799999999999998</v>
      </c>
      <c r="AV58" s="25">
        <f t="array" ref="AV58">('1100'!C58) / 100</f>
        <v>0.34399999999999997</v>
      </c>
      <c r="AW58" s="25">
        <f t="array" ref="AW58">('1100'!D58) / 100</f>
        <v>0.32899999999999996</v>
      </c>
      <c r="AX58" s="25">
        <f t="array" ref="AX58">('1100'!E58) / 100</f>
        <v>0.31</v>
      </c>
      <c r="AY58" s="23">
        <v>15969000</v>
      </c>
      <c r="AZ58" s="23">
        <v>15747000</v>
      </c>
      <c r="BA58" s="23">
        <v>15694000</v>
      </c>
      <c r="BB58" s="23">
        <v>16312000</v>
      </c>
      <c r="BC58" s="23">
        <v>15711000</v>
      </c>
      <c r="BD58" s="22">
        <v>217000</v>
      </c>
      <c r="BE58" s="22">
        <v>219000</v>
      </c>
      <c r="BF58" s="22">
        <v>180000</v>
      </c>
      <c r="BG58" s="22">
        <v>168000</v>
      </c>
      <c r="BH58" s="22">
        <v>186000</v>
      </c>
      <c r="BI58" s="23">
        <v>30073000</v>
      </c>
      <c r="BJ58" s="23">
        <v>24383000</v>
      </c>
      <c r="BK58" s="23">
        <v>24391000</v>
      </c>
      <c r="BL58" s="23">
        <v>23088000</v>
      </c>
      <c r="BM58" s="23">
        <v>22972000</v>
      </c>
      <c r="BN58" s="22">
        <v>7972000</v>
      </c>
      <c r="BO58" s="22">
        <v>8725000</v>
      </c>
      <c r="BP58" s="22">
        <v>8385000</v>
      </c>
      <c r="BQ58" s="22">
        <v>7598000</v>
      </c>
      <c r="BR58" s="22">
        <v>7126000</v>
      </c>
    </row>
    <row r="59" spans="1:70" ht="14" x14ac:dyDescent="0.2">
      <c r="A59" s="13" t="s">
        <v>216</v>
      </c>
      <c r="B59" s="14">
        <v>5563910354</v>
      </c>
      <c r="C59" s="14" t="s">
        <v>217</v>
      </c>
      <c r="D59" s="14" t="s">
        <v>67</v>
      </c>
      <c r="E59" s="15" t="s">
        <v>68</v>
      </c>
      <c r="F59" s="16">
        <v>0.128</v>
      </c>
      <c r="G59" s="16">
        <v>0.114</v>
      </c>
      <c r="H59" s="16">
        <v>9.7000000000000003E-2</v>
      </c>
      <c r="I59" s="16">
        <v>9.1999999999999998E-2</v>
      </c>
      <c r="J59" s="16">
        <v>8.7999999999999995E-2</v>
      </c>
      <c r="K59" s="18">
        <v>8.5000000000000006E-2</v>
      </c>
      <c r="L59" s="18">
        <v>8.4000000000000005E-2</v>
      </c>
      <c r="M59" s="18">
        <v>2.1999999999999999E-2</v>
      </c>
      <c r="N59" s="18">
        <v>5.0000000000000001E-3</v>
      </c>
      <c r="O59" s="18">
        <v>1.7999999999999999E-2</v>
      </c>
      <c r="P59" s="19">
        <v>-2.5500000000000102E-3</v>
      </c>
      <c r="Q59" s="19">
        <v>-2.9762000000000001E-4</v>
      </c>
      <c r="R59" s="20">
        <v>0</v>
      </c>
      <c r="S59" s="19">
        <v>7.6778999999999997E-3</v>
      </c>
      <c r="T59" s="19">
        <v>3.46414000000001E-2</v>
      </c>
      <c r="U59" s="21">
        <v>0</v>
      </c>
      <c r="V59" s="21">
        <v>0</v>
      </c>
      <c r="W59" s="21">
        <v>0</v>
      </c>
      <c r="X59" s="21">
        <v>0</v>
      </c>
      <c r="Y59" s="21">
        <v>0</v>
      </c>
      <c r="Z59" s="22">
        <v>4115</v>
      </c>
      <c r="AA59" s="22">
        <v>3877</v>
      </c>
      <c r="AB59" s="22">
        <v>2980</v>
      </c>
      <c r="AC59" s="22">
        <v>2214</v>
      </c>
      <c r="AD59" s="22">
        <v>2213</v>
      </c>
      <c r="AE59" s="23">
        <v>674393</v>
      </c>
      <c r="AF59" s="23">
        <v>745268</v>
      </c>
      <c r="AG59" s="23">
        <v>562112</v>
      </c>
      <c r="AH59" s="23">
        <v>408660</v>
      </c>
      <c r="AI59" s="23">
        <v>392481</v>
      </c>
      <c r="AJ59" s="22">
        <v>1.7337072004009531</v>
      </c>
      <c r="AK59" s="22">
        <v>2.1127889564559328</v>
      </c>
      <c r="AL59" s="22">
        <v>0.91100172207673913</v>
      </c>
      <c r="AM59" s="22">
        <v>1.011410463465962</v>
      </c>
      <c r="AN59" s="22">
        <v>0.54180202353744511</v>
      </c>
      <c r="AO59" s="24">
        <f t="array" ref="AO59">('1100'!G59) / 100</f>
        <v>5.4400000000000004E-2</v>
      </c>
      <c r="AP59" s="24">
        <f t="array" ref="AP59">('1100'!H59) / 100</f>
        <v>7.9299999999999995E-2</v>
      </c>
      <c r="AQ59" s="24">
        <f t="array" ref="AQ59">('1100'!I59) / 100</f>
        <v>7.980000000000001E-2</v>
      </c>
      <c r="AR59" s="24">
        <f t="array" ref="AR59">('1100'!J59) / 100</f>
        <v>0.10009999999999999</v>
      </c>
      <c r="AS59" s="24">
        <f t="array" ref="AS59">('1100'!K59) / 100</f>
        <v>9.849999999999999E-2</v>
      </c>
      <c r="AT59" s="25">
        <f t="array" ref="AT59">('1100'!A59) / 100</f>
        <v>0.59099999999999997</v>
      </c>
      <c r="AU59" s="25">
        <f t="array" ref="AU59">('1100'!B59) / 100</f>
        <v>0.55000000000000004</v>
      </c>
      <c r="AV59" s="25">
        <f t="array" ref="AV59">('1100'!C59) / 100</f>
        <v>0.61299999999999999</v>
      </c>
      <c r="AW59" s="25">
        <f t="array" ref="AW59">('1100'!D59) / 100</f>
        <v>0.5</v>
      </c>
      <c r="AX59" s="25">
        <f t="array" ref="AX59">('1100'!E59) / 100</f>
        <v>0.55000000000000004</v>
      </c>
      <c r="AY59" s="23">
        <v>7113820</v>
      </c>
      <c r="AZ59" s="23">
        <v>6833746</v>
      </c>
      <c r="BA59" s="23">
        <v>4812474</v>
      </c>
      <c r="BB59" s="23">
        <v>3380682</v>
      </c>
      <c r="BC59" s="23">
        <v>3336100</v>
      </c>
      <c r="BD59" s="22">
        <v>3738439</v>
      </c>
      <c r="BE59" s="22">
        <v>3754554</v>
      </c>
      <c r="BF59" s="22">
        <v>3120541</v>
      </c>
      <c r="BG59" s="22">
        <v>1200646</v>
      </c>
      <c r="BH59" s="22">
        <v>957388</v>
      </c>
      <c r="BI59" s="23">
        <v>7026171</v>
      </c>
      <c r="BJ59" s="23">
        <v>7605553</v>
      </c>
      <c r="BK59" s="23">
        <v>6335396</v>
      </c>
      <c r="BL59" s="23">
        <v>3060557</v>
      </c>
      <c r="BM59" s="23">
        <v>2226194</v>
      </c>
      <c r="BN59" s="22">
        <v>4150954</v>
      </c>
      <c r="BO59" s="22">
        <v>4186450</v>
      </c>
      <c r="BP59" s="22">
        <v>3884639</v>
      </c>
      <c r="BQ59" s="22">
        <v>1530803</v>
      </c>
      <c r="BR59" s="22">
        <v>1225066</v>
      </c>
    </row>
    <row r="60" spans="1:70" ht="15" x14ac:dyDescent="0.2">
      <c r="A60" s="26" t="s">
        <v>218</v>
      </c>
      <c r="B60" s="14">
        <v>5560568817</v>
      </c>
      <c r="C60" s="14" t="s">
        <v>219</v>
      </c>
      <c r="D60" s="14" t="s">
        <v>67</v>
      </c>
      <c r="E60" s="15" t="s">
        <v>68</v>
      </c>
      <c r="F60" s="16">
        <v>0.08</v>
      </c>
      <c r="G60" s="16">
        <v>0.08</v>
      </c>
      <c r="H60" s="16">
        <v>0.08</v>
      </c>
      <c r="I60" s="16">
        <v>0.08</v>
      </c>
      <c r="J60" s="16">
        <f>0.08</f>
        <v>0.08</v>
      </c>
      <c r="K60" s="18">
        <v>8.5000000000000006E-2</v>
      </c>
      <c r="L60" s="18">
        <v>8.4000000000000005E-2</v>
      </c>
      <c r="M60" s="18">
        <v>2.1999999999999999E-2</v>
      </c>
      <c r="N60" s="18">
        <v>5.0000000000000001E-3</v>
      </c>
      <c r="O60" s="18">
        <v>1.7999999999999999E-2</v>
      </c>
      <c r="P60" s="19">
        <v>-2.5500000000000102E-3</v>
      </c>
      <c r="Q60" s="19">
        <v>-2.9762000000000001E-4</v>
      </c>
      <c r="R60" s="20">
        <v>0</v>
      </c>
      <c r="S60" s="19">
        <v>7.6778999999999997E-3</v>
      </c>
      <c r="T60" s="19">
        <v>3.46414000000001E-2</v>
      </c>
      <c r="U60" s="21">
        <v>0</v>
      </c>
      <c r="V60" s="21">
        <v>0</v>
      </c>
      <c r="W60" s="21">
        <v>0</v>
      </c>
      <c r="X60" s="21">
        <v>0</v>
      </c>
      <c r="Y60" s="21">
        <v>0</v>
      </c>
      <c r="Z60" s="22">
        <v>4204</v>
      </c>
      <c r="AA60" s="22">
        <v>4090</v>
      </c>
      <c r="AB60" s="22">
        <v>4073</v>
      </c>
      <c r="AC60" s="22">
        <v>3287</v>
      </c>
      <c r="AD60" s="22">
        <v>3217</v>
      </c>
      <c r="AE60" s="23">
        <v>11116000</v>
      </c>
      <c r="AF60" s="23">
        <v>9419000</v>
      </c>
      <c r="AG60" s="23">
        <v>18748000</v>
      </c>
      <c r="AH60" s="23">
        <v>5926000</v>
      </c>
      <c r="AI60" s="23">
        <v>24721000</v>
      </c>
      <c r="AJ60" s="22">
        <v>3.9399064411658871</v>
      </c>
      <c r="AK60" s="22">
        <v>4.6528293874084294</v>
      </c>
      <c r="AL60" s="22">
        <v>2.4606358011521228</v>
      </c>
      <c r="AM60" s="22">
        <v>7.0894363820452249</v>
      </c>
      <c r="AN60" s="22">
        <v>1.5445168075725093</v>
      </c>
      <c r="AO60" s="24">
        <f t="array" ref="AO60">('1100'!G60) / 100</f>
        <v>0.3417</v>
      </c>
      <c r="AP60" s="24">
        <f t="array" ref="AP60">('1100'!H60) / 100</f>
        <v>0.27579999999999999</v>
      </c>
      <c r="AQ60" s="24">
        <f t="array" ref="AQ60">('1100'!I60) / 100</f>
        <v>0.70299999999999996</v>
      </c>
      <c r="AR60" s="24">
        <f t="array" ref="AR60">('1100'!J60) / 100</f>
        <v>0.2397</v>
      </c>
      <c r="AS60" s="24">
        <f t="array" ref="AS60">('1100'!K60) / 100</f>
        <v>1.0900000000000001</v>
      </c>
      <c r="AT60" s="25">
        <f t="array" ref="AT60">('1100'!A60) / 100</f>
        <v>0.498</v>
      </c>
      <c r="AU60" s="25">
        <f t="array" ref="AU60">('1100'!B60) / 100</f>
        <v>0.47100000000000003</v>
      </c>
      <c r="AV60" s="25">
        <f t="array" ref="AV60">('1100'!C60) / 100</f>
        <v>0.49200000000000005</v>
      </c>
      <c r="AW60" s="25">
        <f t="array" ref="AW60">('1100'!D60) / 100</f>
        <v>0.47399999999999998</v>
      </c>
      <c r="AX60" s="25">
        <f t="array" ref="AX60">('1100'!E60) / 100</f>
        <v>0.46299999999999997</v>
      </c>
      <c r="AY60" s="23">
        <v>37244000</v>
      </c>
      <c r="AZ60" s="23">
        <v>32961000</v>
      </c>
      <c r="BA60" s="23">
        <v>37175000</v>
      </c>
      <c r="BB60" s="23">
        <v>21574000</v>
      </c>
      <c r="BC60" s="23">
        <v>41988000</v>
      </c>
      <c r="BD60" s="22">
        <v>441000</v>
      </c>
      <c r="BE60" s="22">
        <v>441000</v>
      </c>
      <c r="BF60" s="22">
        <v>441000</v>
      </c>
      <c r="BG60" s="22">
        <v>438000</v>
      </c>
      <c r="BH60" s="22">
        <v>830000</v>
      </c>
      <c r="BI60" s="23">
        <v>216104000</v>
      </c>
      <c r="BJ60" s="23">
        <v>211755000</v>
      </c>
      <c r="BK60" s="23">
        <v>202518000</v>
      </c>
      <c r="BL60" s="23">
        <v>180011000</v>
      </c>
      <c r="BM60" s="23">
        <v>175302000</v>
      </c>
      <c r="BN60" s="22">
        <v>107559000</v>
      </c>
      <c r="BO60" s="22">
        <v>99819000</v>
      </c>
      <c r="BP60" s="22">
        <v>99580000</v>
      </c>
      <c r="BQ60" s="22">
        <v>85252000</v>
      </c>
      <c r="BR60" s="22">
        <v>81196000</v>
      </c>
    </row>
    <row r="61" spans="1:70" ht="15" x14ac:dyDescent="0.2">
      <c r="A61" s="26" t="s">
        <v>220</v>
      </c>
      <c r="B61" s="14">
        <v>5564653185</v>
      </c>
      <c r="C61" s="14" t="s">
        <v>221</v>
      </c>
      <c r="D61" s="14" t="s">
        <v>67</v>
      </c>
      <c r="E61" s="15" t="s">
        <v>68</v>
      </c>
      <c r="F61" s="16">
        <v>0.125</v>
      </c>
      <c r="G61" s="16">
        <v>0.122</v>
      </c>
      <c r="H61" s="16">
        <v>9.5000000000000001E-2</v>
      </c>
      <c r="I61" s="16">
        <v>9.8000000000000004E-2</v>
      </c>
      <c r="J61" s="16">
        <v>9.1999999999999998E-2</v>
      </c>
      <c r="K61" s="18">
        <v>8.5000000000000006E-2</v>
      </c>
      <c r="L61" s="18">
        <v>8.4000000000000005E-2</v>
      </c>
      <c r="M61" s="18">
        <v>2.1999999999999999E-2</v>
      </c>
      <c r="N61" s="18">
        <v>5.0000000000000001E-3</v>
      </c>
      <c r="O61" s="18">
        <v>1.7999999999999999E-2</v>
      </c>
      <c r="P61" s="19">
        <v>-2.5500000000000102E-3</v>
      </c>
      <c r="Q61" s="19">
        <v>-2.9762000000000001E-4</v>
      </c>
      <c r="R61" s="20">
        <v>0</v>
      </c>
      <c r="S61" s="19">
        <v>7.6778999999999997E-3</v>
      </c>
      <c r="T61" s="19">
        <v>3.46414000000001E-2</v>
      </c>
      <c r="U61" s="21">
        <v>0</v>
      </c>
      <c r="V61" s="21">
        <v>0</v>
      </c>
      <c r="W61" s="21">
        <v>0</v>
      </c>
      <c r="X61" s="21">
        <v>0</v>
      </c>
      <c r="Y61" s="21">
        <v>0</v>
      </c>
      <c r="Z61" s="22">
        <v>6753</v>
      </c>
      <c r="AA61" s="22">
        <v>6495</v>
      </c>
      <c r="AB61" s="22">
        <v>5995</v>
      </c>
      <c r="AC61" s="22">
        <v>1536</v>
      </c>
      <c r="AD61" s="22">
        <v>5255</v>
      </c>
      <c r="AE61" s="23">
        <v>6236000</v>
      </c>
      <c r="AF61" s="23">
        <v>5104000</v>
      </c>
      <c r="AG61" s="23">
        <v>4080000</v>
      </c>
      <c r="AH61" s="23">
        <v>3033000</v>
      </c>
      <c r="AI61" s="23">
        <v>2714000</v>
      </c>
      <c r="AJ61" s="22">
        <v>0.9201411161000641</v>
      </c>
      <c r="AK61" s="22">
        <v>1.3446316614420062</v>
      </c>
      <c r="AL61" s="22">
        <v>1.5308823529411764</v>
      </c>
      <c r="AM61" s="22">
        <v>1.4513682822288163</v>
      </c>
      <c r="AN61" s="22">
        <v>2.0206337509211494</v>
      </c>
      <c r="AO61" s="24">
        <f t="array" ref="AO61">('1100'!G61) / 100</f>
        <v>0.19670000000000001</v>
      </c>
      <c r="AP61" s="24">
        <f t="array" ref="AP61">('1100'!H61) / 100</f>
        <v>0.18440000000000001</v>
      </c>
      <c r="AQ61" s="24">
        <f t="array" ref="AQ61">('1100'!I61) / 100</f>
        <v>0.17989999999999998</v>
      </c>
      <c r="AR61" s="24">
        <f t="array" ref="AR61">('1100'!J61) / 100</f>
        <v>0.1643</v>
      </c>
      <c r="AS61" s="24">
        <f t="array" ref="AS61">('1100'!K61) / 100</f>
        <v>0.14899999999999999</v>
      </c>
      <c r="AT61" s="25">
        <f t="array" ref="AT61">('1100'!A61) / 100</f>
        <v>0.44400000000000001</v>
      </c>
      <c r="AU61" s="25">
        <f t="array" ref="AU61">('1100'!B61) / 100</f>
        <v>0.44500000000000001</v>
      </c>
      <c r="AV61" s="25">
        <f t="array" ref="AV61">('1100'!C61) / 100</f>
        <v>0.42799999999999999</v>
      </c>
      <c r="AW61" s="25">
        <f t="array" ref="AW61">('1100'!D61) / 100</f>
        <v>0.47399999999999998</v>
      </c>
      <c r="AX61" s="25">
        <f t="array" ref="AX61">('1100'!E61) / 100</f>
        <v>0.45</v>
      </c>
      <c r="AY61" s="23">
        <v>24630000</v>
      </c>
      <c r="AZ61" s="23">
        <v>21666000</v>
      </c>
      <c r="BA61" s="23">
        <v>17558000</v>
      </c>
      <c r="BB61" s="23">
        <v>13833000</v>
      </c>
      <c r="BC61" s="23">
        <v>13892000</v>
      </c>
      <c r="BD61" s="22">
        <v>13255000</v>
      </c>
      <c r="BE61" s="22">
        <v>11247000</v>
      </c>
      <c r="BF61" s="22">
        <v>9562000</v>
      </c>
      <c r="BG61" s="22">
        <v>7564000</v>
      </c>
      <c r="BH61" s="22">
        <v>7318000</v>
      </c>
      <c r="BI61" s="23">
        <v>34291000</v>
      </c>
      <c r="BJ61" s="23">
        <v>29771000</v>
      </c>
      <c r="BK61" s="23">
        <v>24876000</v>
      </c>
      <c r="BL61" s="23">
        <v>18262000</v>
      </c>
      <c r="BM61" s="23">
        <v>17578000</v>
      </c>
      <c r="BN61" s="22">
        <v>15212000</v>
      </c>
      <c r="BO61" s="22">
        <v>13238000</v>
      </c>
      <c r="BP61" s="22">
        <v>10645000</v>
      </c>
      <c r="BQ61" s="22">
        <v>8614000</v>
      </c>
      <c r="BR61" s="22">
        <v>7915000</v>
      </c>
    </row>
    <row r="62" spans="1:70" ht="15" x14ac:dyDescent="0.2">
      <c r="A62" s="26" t="s">
        <v>222</v>
      </c>
      <c r="B62" s="14">
        <v>5569532616</v>
      </c>
      <c r="C62" s="14" t="s">
        <v>223</v>
      </c>
      <c r="D62" s="14" t="s">
        <v>67</v>
      </c>
      <c r="E62" s="15" t="s">
        <v>210</v>
      </c>
      <c r="F62" s="16">
        <v>0.11600000000000001</v>
      </c>
      <c r="G62" s="16">
        <v>0.106</v>
      </c>
      <c r="H62" s="16">
        <v>8.5000000000000006E-2</v>
      </c>
      <c r="I62" s="16">
        <v>8.5000000000000006E-2</v>
      </c>
      <c r="J62" s="16">
        <v>8.5000000000000006E-2</v>
      </c>
      <c r="K62" s="18">
        <v>8.5000000000000006E-2</v>
      </c>
      <c r="L62" s="18">
        <v>8.4000000000000005E-2</v>
      </c>
      <c r="M62" s="18">
        <v>2.1999999999999999E-2</v>
      </c>
      <c r="N62" s="18">
        <v>5.0000000000000001E-3</v>
      </c>
      <c r="O62" s="18">
        <v>1.7999999999999999E-2</v>
      </c>
      <c r="P62" s="19">
        <v>-2.5500000000000102E-3</v>
      </c>
      <c r="Q62" s="19">
        <v>-2.9762000000000001E-4</v>
      </c>
      <c r="R62" s="20">
        <v>0</v>
      </c>
      <c r="S62" s="19">
        <v>7.6778999999999997E-3</v>
      </c>
      <c r="T62" s="19">
        <v>3.46414000000001E-2</v>
      </c>
      <c r="U62" s="21">
        <v>0</v>
      </c>
      <c r="V62" s="21">
        <v>0</v>
      </c>
      <c r="W62" s="21">
        <v>0</v>
      </c>
      <c r="X62" s="21">
        <v>0</v>
      </c>
      <c r="Y62" s="21">
        <v>0</v>
      </c>
      <c r="Z62" s="22">
        <v>397</v>
      </c>
      <c r="AA62" s="22">
        <v>352</v>
      </c>
      <c r="AB62" s="22">
        <v>297</v>
      </c>
      <c r="AC62" s="22">
        <v>244</v>
      </c>
      <c r="AD62" s="22">
        <v>223</v>
      </c>
      <c r="AE62" s="23">
        <v>180728</v>
      </c>
      <c r="AF62" s="23">
        <v>153795</v>
      </c>
      <c r="AG62" s="23">
        <v>132839</v>
      </c>
      <c r="AH62" s="23">
        <v>121559</v>
      </c>
      <c r="AI62" s="23">
        <v>83659</v>
      </c>
      <c r="AJ62" s="22">
        <v>0.95171749811871986</v>
      </c>
      <c r="AK62" s="22">
        <v>1.3677947917682629</v>
      </c>
      <c r="AL62" s="22">
        <v>2.2219604182506645</v>
      </c>
      <c r="AM62" s="22">
        <v>0.94143584596780161</v>
      </c>
      <c r="AN62" s="22">
        <v>1.1888260677273217</v>
      </c>
      <c r="AO62" s="24">
        <f t="array" ref="AO62">('1100'!G62) / 100</f>
        <v>0.20010000000000003</v>
      </c>
      <c r="AP62" s="24">
        <f t="array" ref="AP62">('1100'!H62) / 100</f>
        <v>0.18710000000000002</v>
      </c>
      <c r="AQ62" s="24">
        <f t="array" ref="AQ62">('1100'!I62) / 100</f>
        <v>0.1888</v>
      </c>
      <c r="AR62" s="24">
        <f t="array" ref="AR62">('1100'!J62) / 100</f>
        <v>0.2477</v>
      </c>
      <c r="AS62" s="24">
        <f t="array" ref="AS62">('1100'!K62) / 100</f>
        <v>0.18149999999999999</v>
      </c>
      <c r="AT62" s="25">
        <f t="array" ref="AT62">('1100'!A62) / 100</f>
        <v>0.38</v>
      </c>
      <c r="AU62" s="25">
        <f t="array" ref="AU62">('1100'!B62) / 100</f>
        <v>0.309</v>
      </c>
      <c r="AV62" s="25">
        <f t="array" ref="AV62">('1100'!C62) / 100</f>
        <v>0.20300000000000001</v>
      </c>
      <c r="AW62" s="25">
        <f t="array" ref="AW62">('1100'!D62) / 100</f>
        <v>0.30399999999999999</v>
      </c>
      <c r="AX62" s="25">
        <f t="array" ref="AX62">('1100'!E62) / 100</f>
        <v>0.21899999999999997</v>
      </c>
      <c r="AY62" s="23">
        <v>608913</v>
      </c>
      <c r="AZ62" s="23">
        <v>518924</v>
      </c>
      <c r="BA62" s="23">
        <v>425064</v>
      </c>
      <c r="BB62" s="23">
        <v>358788</v>
      </c>
      <c r="BC62" s="23">
        <v>308723</v>
      </c>
      <c r="BD62" s="22">
        <v>242391</v>
      </c>
      <c r="BE62" s="22">
        <v>235240</v>
      </c>
      <c r="BF62" s="22">
        <v>222076</v>
      </c>
      <c r="BG62" s="22">
        <v>69763</v>
      </c>
      <c r="BH62" s="22">
        <v>69763</v>
      </c>
      <c r="BI62" s="23">
        <v>696933</v>
      </c>
      <c r="BJ62" s="23">
        <v>663931</v>
      </c>
      <c r="BK62" s="23">
        <v>665087</v>
      </c>
      <c r="BL62" s="23">
        <v>364351</v>
      </c>
      <c r="BM62" s="23">
        <v>313567</v>
      </c>
      <c r="BN62" s="22">
        <v>264680</v>
      </c>
      <c r="BO62" s="22">
        <v>205321</v>
      </c>
      <c r="BP62" s="22">
        <v>135066</v>
      </c>
      <c r="BQ62" s="22">
        <v>110840</v>
      </c>
      <c r="BR62" s="22">
        <v>68627</v>
      </c>
    </row>
    <row r="63" spans="1:70" ht="15" x14ac:dyDescent="0.2">
      <c r="A63" s="13" t="s">
        <v>224</v>
      </c>
      <c r="B63" s="14">
        <v>5566208095</v>
      </c>
      <c r="C63" s="14" t="s">
        <v>225</v>
      </c>
      <c r="D63" s="14" t="s">
        <v>67</v>
      </c>
      <c r="E63" s="15" t="s">
        <v>68</v>
      </c>
      <c r="F63" s="16">
        <v>7.5999999999999998E-2</v>
      </c>
      <c r="G63" s="16">
        <v>7.1999999999999995E-2</v>
      </c>
      <c r="H63" s="16">
        <v>8.3000000000000004E-2</v>
      </c>
      <c r="I63" s="16">
        <v>7.1999999999999995E-2</v>
      </c>
      <c r="J63" s="16">
        <v>6.0999999999999999E-2</v>
      </c>
      <c r="K63" s="18">
        <v>8.5000000000000006E-2</v>
      </c>
      <c r="L63" s="18">
        <v>8.4000000000000005E-2</v>
      </c>
      <c r="M63" s="18">
        <v>2.1999999999999999E-2</v>
      </c>
      <c r="N63" s="18">
        <v>5.0000000000000001E-3</v>
      </c>
      <c r="O63" s="18">
        <v>1.7999999999999999E-2</v>
      </c>
      <c r="P63" s="19">
        <v>-2.5500000000000102E-3</v>
      </c>
      <c r="Q63" s="19">
        <v>-2.9762000000000001E-4</v>
      </c>
      <c r="R63" s="20">
        <v>0</v>
      </c>
      <c r="S63" s="19">
        <v>7.6778999999999997E-3</v>
      </c>
      <c r="T63" s="19">
        <v>3.46414000000001E-2</v>
      </c>
      <c r="U63" s="34">
        <f>54*1000</f>
        <v>54000</v>
      </c>
      <c r="V63" s="34">
        <v>0</v>
      </c>
      <c r="W63" s="34">
        <f>52*1000</f>
        <v>52000</v>
      </c>
      <c r="X63" s="34">
        <f>46*1000</f>
        <v>46000</v>
      </c>
      <c r="Y63" s="34">
        <v>0</v>
      </c>
      <c r="Z63" s="22">
        <v>25043</v>
      </c>
      <c r="AA63" s="22">
        <v>24894</v>
      </c>
      <c r="AB63" s="22">
        <v>15754</v>
      </c>
      <c r="AC63" s="22">
        <v>23074</v>
      </c>
      <c r="AD63" s="22">
        <v>24895</v>
      </c>
      <c r="AE63" s="23">
        <v>5636000</v>
      </c>
      <c r="AF63" s="23">
        <v>4893000</v>
      </c>
      <c r="AG63" s="23">
        <v>3765000</v>
      </c>
      <c r="AH63" s="23">
        <v>3283000</v>
      </c>
      <c r="AI63" s="23">
        <v>4357000</v>
      </c>
      <c r="AJ63" s="22">
        <v>2.0503903477643717</v>
      </c>
      <c r="AK63" s="22">
        <v>1.6157776415287144</v>
      </c>
      <c r="AL63" s="22">
        <v>2.2698539176626826</v>
      </c>
      <c r="AM63" s="22">
        <v>2.9451720986902226</v>
      </c>
      <c r="AN63" s="22">
        <v>1.9983933899472113</v>
      </c>
      <c r="AO63" s="24">
        <f t="array" ref="AO63">('1100'!G63) / 100</f>
        <v>0.1012</v>
      </c>
      <c r="AP63" s="24">
        <f t="array" ref="AP63">('1100'!H63) / 100</f>
        <v>0.10539999999999999</v>
      </c>
      <c r="AQ63" s="24">
        <f t="array" ref="AQ63">('1100'!I63) / 100</f>
        <v>9.1799999999999993E-2</v>
      </c>
      <c r="AR63" s="24">
        <f t="array" ref="AR63">('1100'!J63) / 100</f>
        <v>7.0999999999999994E-2</v>
      </c>
      <c r="AS63" s="24">
        <f t="array" ref="AS63">('1100'!K63) / 100</f>
        <v>0.11800000000000001</v>
      </c>
      <c r="AT63" s="25">
        <f t="array" ref="AT63">('1100'!A63) / 100</f>
        <v>0.35</v>
      </c>
      <c r="AU63" s="25">
        <f t="array" ref="AU63">('1100'!B63) / 100</f>
        <v>0.39200000000000002</v>
      </c>
      <c r="AV63" s="25">
        <f t="array" ref="AV63">('1100'!C63) / 100</f>
        <v>0.37</v>
      </c>
      <c r="AW63" s="25">
        <f t="array" ref="AW63">('1100'!D63) / 100</f>
        <v>0.35200000000000004</v>
      </c>
      <c r="AX63" s="25">
        <f t="array" ref="AX63">('1100'!E63) / 100</f>
        <v>0.36099999999999999</v>
      </c>
      <c r="AY63" s="23">
        <v>28707000</v>
      </c>
      <c r="AZ63" s="23">
        <v>25315000</v>
      </c>
      <c r="BA63" s="23">
        <v>19723000</v>
      </c>
      <c r="BB63" s="23">
        <v>18813000</v>
      </c>
      <c r="BC63" s="23">
        <v>21044000</v>
      </c>
      <c r="BD63" s="22">
        <v>9033000</v>
      </c>
      <c r="BE63" s="22">
        <v>8075000</v>
      </c>
      <c r="BF63" s="22">
        <v>7185000</v>
      </c>
      <c r="BG63" s="22">
        <v>6884000</v>
      </c>
      <c r="BH63" s="22">
        <v>7094000</v>
      </c>
      <c r="BI63" s="23">
        <v>36180000</v>
      </c>
      <c r="BJ63" s="23">
        <v>31780000</v>
      </c>
      <c r="BK63" s="23">
        <v>27228000</v>
      </c>
      <c r="BL63" s="23">
        <v>24896000</v>
      </c>
      <c r="BM63" s="23">
        <v>26563000</v>
      </c>
      <c r="BN63" s="22">
        <v>12678000</v>
      </c>
      <c r="BO63" s="22">
        <v>12465000</v>
      </c>
      <c r="BP63" s="22">
        <v>10063000</v>
      </c>
      <c r="BQ63" s="22">
        <v>8772000</v>
      </c>
      <c r="BR63" s="22">
        <v>9591000</v>
      </c>
    </row>
    <row r="64" spans="1:70" ht="15" x14ac:dyDescent="0.2">
      <c r="A64" s="26" t="s">
        <v>226</v>
      </c>
      <c r="B64" s="14">
        <v>5566285408</v>
      </c>
      <c r="C64" s="14" t="s">
        <v>227</v>
      </c>
      <c r="D64" s="14" t="s">
        <v>67</v>
      </c>
      <c r="E64" s="15" t="s">
        <v>82</v>
      </c>
      <c r="F64" s="16">
        <v>0.1</v>
      </c>
      <c r="G64" s="16">
        <v>0.10199999999999999</v>
      </c>
      <c r="H64" s="16">
        <v>0.114</v>
      </c>
      <c r="I64" s="16">
        <v>0.126</v>
      </c>
      <c r="J64" s="16">
        <v>9.7000000000000003E-2</v>
      </c>
      <c r="K64" s="18">
        <v>8.5000000000000006E-2</v>
      </c>
      <c r="L64" s="18">
        <v>8.4000000000000005E-2</v>
      </c>
      <c r="M64" s="18">
        <v>2.1999999999999999E-2</v>
      </c>
      <c r="N64" s="18">
        <v>5.0000000000000001E-3</v>
      </c>
      <c r="O64" s="18">
        <v>1.7999999999999999E-2</v>
      </c>
      <c r="P64" s="19">
        <v>-2.5500000000000102E-3</v>
      </c>
      <c r="Q64" s="19">
        <v>-2.9762000000000001E-4</v>
      </c>
      <c r="R64" s="20">
        <v>0</v>
      </c>
      <c r="S64" s="19">
        <v>7.6778999999999997E-3</v>
      </c>
      <c r="T64" s="19">
        <v>3.46414000000001E-2</v>
      </c>
      <c r="U64" s="34">
        <v>0</v>
      </c>
      <c r="V64" s="34">
        <v>0</v>
      </c>
      <c r="W64" s="34">
        <v>0</v>
      </c>
      <c r="X64" s="34">
        <v>0</v>
      </c>
      <c r="Y64" s="34">
        <v>0</v>
      </c>
      <c r="Z64" s="22">
        <v>75</v>
      </c>
      <c r="AA64" s="22">
        <v>90</v>
      </c>
      <c r="AB64" s="22">
        <v>82</v>
      </c>
      <c r="AC64" s="22">
        <v>70</v>
      </c>
      <c r="AD64" s="22">
        <v>92</v>
      </c>
      <c r="AE64" s="23">
        <v>18546</v>
      </c>
      <c r="AF64" s="27">
        <v>-2669</v>
      </c>
      <c r="AG64" s="23">
        <v>143570</v>
      </c>
      <c r="AH64" s="23">
        <v>46396</v>
      </c>
      <c r="AI64" s="23">
        <v>27177</v>
      </c>
      <c r="AJ64" s="22">
        <v>0</v>
      </c>
      <c r="AK64" s="22">
        <v>0</v>
      </c>
      <c r="AL64" s="22">
        <v>0</v>
      </c>
      <c r="AM64" s="22">
        <v>0</v>
      </c>
      <c r="AN64" s="22">
        <v>0</v>
      </c>
      <c r="AO64" s="24">
        <f t="array" ref="AO64">('1100'!G64) / 100</f>
        <v>-4.0899999999999999E-2</v>
      </c>
      <c r="AP64" s="24">
        <f t="array" ref="AP64">('1100'!H64) / 100</f>
        <v>-8.199999999999999E-2</v>
      </c>
      <c r="AQ64" s="24">
        <f t="array" ref="AQ64">('1100'!I64) / 100</f>
        <v>0.5071</v>
      </c>
      <c r="AR64" s="24">
        <f t="array" ref="AR64">('1100'!J64) / 100</f>
        <v>0.20749999999999999</v>
      </c>
      <c r="AS64" s="24">
        <f t="array" ref="AS64">('1100'!K64) / 100</f>
        <v>9.74E-2</v>
      </c>
      <c r="AT64" s="25">
        <f t="array" ref="AT64">('1100'!A64) / 100</f>
        <v>0.21100000000000002</v>
      </c>
      <c r="AU64" s="25">
        <f t="array" ref="AU64">('1100'!B64) / 100</f>
        <v>0.25</v>
      </c>
      <c r="AV64" s="25">
        <f t="array" ref="AV64">('1100'!C64) / 100</f>
        <v>0.22600000000000001</v>
      </c>
      <c r="AW64" s="25">
        <f t="array" ref="AW64">('1100'!D64) / 100</f>
        <v>0.20800000000000002</v>
      </c>
      <c r="AX64" s="25">
        <f t="array" ref="AX64">('1100'!E64) / 100</f>
        <v>0.18100000000000002</v>
      </c>
      <c r="AY64" s="23">
        <v>242581</v>
      </c>
      <c r="AZ64" s="23">
        <v>267351</v>
      </c>
      <c r="BA64" s="23">
        <v>395395</v>
      </c>
      <c r="BB64" s="23">
        <v>200658</v>
      </c>
      <c r="BC64" s="23">
        <v>162232</v>
      </c>
      <c r="BD64" s="22">
        <v>27978</v>
      </c>
      <c r="BE64" s="22">
        <v>27978</v>
      </c>
      <c r="BF64" s="22">
        <v>27978</v>
      </c>
      <c r="BG64" s="22">
        <v>27978</v>
      </c>
      <c r="BH64" s="22">
        <v>34027</v>
      </c>
      <c r="BI64" s="23">
        <v>996018</v>
      </c>
      <c r="BJ64" s="23">
        <v>872461</v>
      </c>
      <c r="BK64" s="23">
        <v>1020968</v>
      </c>
      <c r="BL64" s="23">
        <v>603381</v>
      </c>
      <c r="BM64" s="23">
        <v>566195</v>
      </c>
      <c r="BN64" s="22">
        <v>210577</v>
      </c>
      <c r="BO64" s="22">
        <v>217711</v>
      </c>
      <c r="BP64" s="22">
        <v>230748</v>
      </c>
      <c r="BQ64" s="22">
        <v>125469</v>
      </c>
      <c r="BR64" s="22">
        <v>102397</v>
      </c>
    </row>
    <row r="65" spans="1:70" ht="15" x14ac:dyDescent="0.2">
      <c r="A65" s="26" t="s">
        <v>228</v>
      </c>
      <c r="B65" s="14">
        <v>5590739487</v>
      </c>
      <c r="C65" s="14" t="s">
        <v>229</v>
      </c>
      <c r="D65" s="14" t="s">
        <v>67</v>
      </c>
      <c r="E65" s="15" t="s">
        <v>68</v>
      </c>
      <c r="F65" s="16">
        <v>0.153</v>
      </c>
      <c r="G65" s="16">
        <v>0.115</v>
      </c>
      <c r="H65" s="16">
        <v>0.106</v>
      </c>
      <c r="I65" s="16">
        <f>0.051</f>
        <v>5.0999999999999997E-2</v>
      </c>
      <c r="J65" s="16">
        <f>0.074</f>
        <v>7.3999999999999996E-2</v>
      </c>
      <c r="K65" s="18">
        <v>8.5000000000000006E-2</v>
      </c>
      <c r="L65" s="18">
        <v>8.4000000000000005E-2</v>
      </c>
      <c r="M65" s="18">
        <v>2.1999999999999999E-2</v>
      </c>
      <c r="N65" s="18">
        <v>5.0000000000000001E-3</v>
      </c>
      <c r="O65" s="18">
        <v>1.7999999999999999E-2</v>
      </c>
      <c r="P65" s="19">
        <v>-2.5500000000000102E-3</v>
      </c>
      <c r="Q65" s="19">
        <v>-2.9762000000000001E-4</v>
      </c>
      <c r="R65" s="20">
        <v>0</v>
      </c>
      <c r="S65" s="19">
        <v>7.6778999999999997E-3</v>
      </c>
      <c r="T65" s="19">
        <v>3.46414000000001E-2</v>
      </c>
      <c r="U65" s="34">
        <v>0</v>
      </c>
      <c r="V65" s="34">
        <v>0</v>
      </c>
      <c r="W65" s="34">
        <v>0</v>
      </c>
      <c r="X65" s="34">
        <v>0</v>
      </c>
      <c r="Y65" s="34">
        <v>0</v>
      </c>
      <c r="Z65" s="22">
        <v>29994</v>
      </c>
      <c r="AA65" s="22">
        <v>28220</v>
      </c>
      <c r="AB65" s="22">
        <v>23900</v>
      </c>
      <c r="AC65" s="22">
        <v>19404</v>
      </c>
      <c r="AD65" s="22">
        <v>15193</v>
      </c>
      <c r="AE65" s="23">
        <v>2707424</v>
      </c>
      <c r="AF65" s="23">
        <v>2347811</v>
      </c>
      <c r="AG65" s="23">
        <v>2771681</v>
      </c>
      <c r="AH65" s="23">
        <v>1528224</v>
      </c>
      <c r="AI65" s="23">
        <v>1252571</v>
      </c>
      <c r="AJ65" s="22">
        <v>3.7303277949815028</v>
      </c>
      <c r="AK65" s="22">
        <v>4.5731900906844718</v>
      </c>
      <c r="AL65" s="22">
        <v>2.9378698342269547</v>
      </c>
      <c r="AM65" s="22">
        <v>2.6080103440333353</v>
      </c>
      <c r="AN65" s="22">
        <v>3.1351132989666852</v>
      </c>
      <c r="AO65" s="24">
        <f t="array" ref="AO65">('1100'!G65) / 100</f>
        <v>4.2900000000000001E-2</v>
      </c>
      <c r="AP65" s="24">
        <f t="array" ref="AP65">('1100'!H65) / 100</f>
        <v>3.8699999999999998E-2</v>
      </c>
      <c r="AQ65" s="24">
        <f t="array" ref="AQ65">('1100'!I65) / 100</f>
        <v>0.11900000000000001</v>
      </c>
      <c r="AR65" s="24">
        <f t="array" ref="AR65">('1100'!J65) / 100</f>
        <v>6.2400000000000004E-2</v>
      </c>
      <c r="AS65" s="24">
        <f t="array" ref="AS65">('1100'!K65) / 100</f>
        <v>5.6100000000000004E-2</v>
      </c>
      <c r="AT65" s="25">
        <f t="array" ref="AT65">('1100'!A65) / 100</f>
        <v>0.25600000000000001</v>
      </c>
      <c r="AU65" s="25">
        <f t="array" ref="AU65">('1100'!B65) / 100</f>
        <v>0.25900000000000001</v>
      </c>
      <c r="AV65" s="25">
        <f t="array" ref="AV65">('1100'!C65) / 100</f>
        <v>0.307</v>
      </c>
      <c r="AW65" s="25">
        <f t="array" ref="AW65">('1100'!D65) / 100</f>
        <v>0.40299999999999997</v>
      </c>
      <c r="AX65" s="25">
        <f t="array" ref="AX65">('1100'!E65) / 100</f>
        <v>0.311</v>
      </c>
      <c r="AY65" s="23">
        <v>19378054</v>
      </c>
      <c r="AZ65" s="23">
        <v>16796142</v>
      </c>
      <c r="BA65" s="23">
        <v>14118763</v>
      </c>
      <c r="BB65" s="23">
        <v>10012225</v>
      </c>
      <c r="BC65" s="23">
        <v>8821278</v>
      </c>
      <c r="BD65" s="22">
        <v>5736632</v>
      </c>
      <c r="BE65" s="22">
        <v>5515301</v>
      </c>
      <c r="BF65" s="22">
        <v>3810037</v>
      </c>
      <c r="BG65" s="22">
        <v>2901920</v>
      </c>
      <c r="BH65" s="22">
        <v>3061957</v>
      </c>
      <c r="BI65" s="23">
        <v>21540665</v>
      </c>
      <c r="BJ65" s="23">
        <v>20371801</v>
      </c>
      <c r="BK65" s="23">
        <v>17264580</v>
      </c>
      <c r="BL65" s="23">
        <v>11147104</v>
      </c>
      <c r="BM65" s="23">
        <v>10650513</v>
      </c>
      <c r="BN65" s="22">
        <v>5509164</v>
      </c>
      <c r="BO65" s="22">
        <v>5279518</v>
      </c>
      <c r="BP65" s="22">
        <v>5305555</v>
      </c>
      <c r="BQ65" s="22">
        <v>4495366</v>
      </c>
      <c r="BR65" s="22">
        <v>3315814</v>
      </c>
    </row>
    <row r="66" spans="1:70" ht="15" x14ac:dyDescent="0.2">
      <c r="A66" s="26" t="s">
        <v>230</v>
      </c>
      <c r="B66" s="14">
        <v>5563921971</v>
      </c>
      <c r="C66" s="14" t="s">
        <v>231</v>
      </c>
      <c r="D66" s="14" t="s">
        <v>67</v>
      </c>
      <c r="E66" s="15" t="s">
        <v>68</v>
      </c>
      <c r="F66" s="16">
        <v>0.113</v>
      </c>
      <c r="G66" s="16">
        <v>8.1000000000000003E-2</v>
      </c>
      <c r="H66" s="16">
        <v>8.7999999999999995E-2</v>
      </c>
      <c r="I66" s="16">
        <v>7.9000000000000001E-2</v>
      </c>
      <c r="J66" s="16">
        <v>9.6000000000000002E-2</v>
      </c>
      <c r="K66" s="18">
        <v>8.5000000000000006E-2</v>
      </c>
      <c r="L66" s="18">
        <v>8.4000000000000005E-2</v>
      </c>
      <c r="M66" s="18">
        <v>2.1999999999999999E-2</v>
      </c>
      <c r="N66" s="18">
        <v>5.0000000000000001E-3</v>
      </c>
      <c r="O66" s="18">
        <v>1.7999999999999999E-2</v>
      </c>
      <c r="P66" s="19">
        <v>-2.5500000000000102E-3</v>
      </c>
      <c r="Q66" s="19">
        <v>-2.9762000000000001E-4</v>
      </c>
      <c r="R66" s="20">
        <v>0</v>
      </c>
      <c r="S66" s="19">
        <v>7.6778999999999997E-3</v>
      </c>
      <c r="T66" s="19">
        <v>3.46414000000001E-2</v>
      </c>
      <c r="U66" s="34">
        <v>0</v>
      </c>
      <c r="V66" s="34">
        <v>0</v>
      </c>
      <c r="W66" s="34">
        <v>0</v>
      </c>
      <c r="X66" s="34">
        <v>0</v>
      </c>
      <c r="Y66" s="34">
        <v>0</v>
      </c>
      <c r="Z66" s="22">
        <v>6268</v>
      </c>
      <c r="AA66" s="22">
        <v>6068</v>
      </c>
      <c r="AB66" s="22">
        <v>5118</v>
      </c>
      <c r="AC66" s="22">
        <v>4912</v>
      </c>
      <c r="AD66" s="22">
        <v>4953</v>
      </c>
      <c r="AE66" s="23">
        <v>1859000</v>
      </c>
      <c r="AF66" s="23">
        <v>1631000</v>
      </c>
      <c r="AG66" s="23">
        <v>1700000</v>
      </c>
      <c r="AH66" s="23">
        <v>1574000</v>
      </c>
      <c r="AI66" s="23">
        <v>0</v>
      </c>
      <c r="AJ66" s="22">
        <v>2.9289940828402368</v>
      </c>
      <c r="AK66" s="22">
        <v>3.6112814224402205</v>
      </c>
      <c r="AL66" s="22">
        <v>2.6788235294117646</v>
      </c>
      <c r="AM66" s="22">
        <v>2.9733163913595932</v>
      </c>
      <c r="AN66" s="22" t="s">
        <v>87</v>
      </c>
      <c r="AO66" s="24">
        <f t="array" ref="AO66">('1100'!G66) / 100</f>
        <v>5.4299999999999994E-2</v>
      </c>
      <c r="AP66" s="24">
        <f t="array" ref="AP66">('1100'!H66) / 100</f>
        <v>5.5199999999999999E-2</v>
      </c>
      <c r="AQ66" s="24">
        <f t="array" ref="AQ66">('1100'!I66) / 100</f>
        <v>7.3399999999999993E-2</v>
      </c>
      <c r="AR66" s="24">
        <f t="array" ref="AR66">('1100'!J66) / 100</f>
        <v>6.5000000000000002E-2</v>
      </c>
      <c r="AS66" s="24">
        <f t="array" ref="AS66">('1100'!K66) / 100</f>
        <v>0</v>
      </c>
      <c r="AT66" s="25">
        <f t="array" ref="AT66">('1100'!A66) / 100</f>
        <v>0.376</v>
      </c>
      <c r="AU66" s="25">
        <f t="array" ref="AU66">('1100'!B66) / 100</f>
        <v>0.36799999999999999</v>
      </c>
      <c r="AV66" s="25">
        <f t="array" ref="AV66">('1100'!C66) / 100</f>
        <v>0.39100000000000001</v>
      </c>
      <c r="AW66" s="25">
        <f t="array" ref="AW66">('1100'!D66) / 100</f>
        <v>0.371</v>
      </c>
      <c r="AX66" s="25">
        <f t="array" ref="AX66">('1100'!E66) / 100</f>
        <v>0.33399999999999996</v>
      </c>
      <c r="AY66" s="23">
        <v>17278000</v>
      </c>
      <c r="AZ66" s="23">
        <v>14391000</v>
      </c>
      <c r="BA66" s="23">
        <v>12552000</v>
      </c>
      <c r="BB66" s="23">
        <v>11764000</v>
      </c>
      <c r="BC66" s="23">
        <v>11842000</v>
      </c>
      <c r="BD66" s="22">
        <v>4106000</v>
      </c>
      <c r="BE66" s="22">
        <v>4135000</v>
      </c>
      <c r="BF66" s="22">
        <v>3761000</v>
      </c>
      <c r="BG66" s="22">
        <v>3679000</v>
      </c>
      <c r="BH66" s="22">
        <v>3770000</v>
      </c>
      <c r="BI66" s="23">
        <v>16040000</v>
      </c>
      <c r="BJ66" s="23">
        <v>15773000</v>
      </c>
      <c r="BK66" s="23">
        <v>13229000</v>
      </c>
      <c r="BL66" s="23">
        <v>12193000</v>
      </c>
      <c r="BM66" s="23">
        <v>12870000</v>
      </c>
      <c r="BN66" s="22">
        <v>6038000</v>
      </c>
      <c r="BO66" s="22">
        <v>5801000</v>
      </c>
      <c r="BP66" s="22">
        <v>5174000</v>
      </c>
      <c r="BQ66" s="22">
        <v>4529000</v>
      </c>
      <c r="BR66" s="22">
        <v>4303000</v>
      </c>
    </row>
    <row r="67" spans="1:70" ht="15" x14ac:dyDescent="0.2">
      <c r="A67" s="26" t="s">
        <v>232</v>
      </c>
      <c r="B67" s="14">
        <v>5563099158</v>
      </c>
      <c r="C67" s="14" t="s">
        <v>233</v>
      </c>
      <c r="D67" s="14" t="s">
        <v>67</v>
      </c>
      <c r="E67" s="15" t="s">
        <v>68</v>
      </c>
      <c r="F67" s="16">
        <v>0.109</v>
      </c>
      <c r="G67" s="16">
        <v>9.6000000000000002E-2</v>
      </c>
      <c r="H67" s="16">
        <v>9.1999999999999998E-2</v>
      </c>
      <c r="I67" s="16">
        <v>9.5000000000000001E-2</v>
      </c>
      <c r="J67" s="16">
        <v>0.12</v>
      </c>
      <c r="K67" s="18">
        <v>8.5000000000000006E-2</v>
      </c>
      <c r="L67" s="18">
        <v>8.4000000000000005E-2</v>
      </c>
      <c r="M67" s="18">
        <v>2.1999999999999999E-2</v>
      </c>
      <c r="N67" s="18">
        <v>5.0000000000000001E-3</v>
      </c>
      <c r="O67" s="18">
        <v>1.7999999999999999E-2</v>
      </c>
      <c r="P67" s="19">
        <v>-2.5500000000000102E-3</v>
      </c>
      <c r="Q67" s="19">
        <v>-2.9762000000000001E-4</v>
      </c>
      <c r="R67" s="20">
        <v>0</v>
      </c>
      <c r="S67" s="19">
        <v>7.6778999999999997E-3</v>
      </c>
      <c r="T67" s="19">
        <v>3.46414000000001E-2</v>
      </c>
      <c r="U67" s="34">
        <v>0</v>
      </c>
      <c r="V67" s="34">
        <v>0</v>
      </c>
      <c r="W67" s="34">
        <v>0</v>
      </c>
      <c r="X67" s="34">
        <v>0</v>
      </c>
      <c r="Y67" s="34">
        <v>0</v>
      </c>
      <c r="Z67" s="22">
        <v>1042</v>
      </c>
      <c r="AA67" s="22">
        <v>1075</v>
      </c>
      <c r="AB67" s="22">
        <v>1460</v>
      </c>
      <c r="AC67" s="22">
        <v>941</v>
      </c>
      <c r="AD67" s="22">
        <v>1000</v>
      </c>
      <c r="AE67" s="23">
        <v>1402000</v>
      </c>
      <c r="AF67" s="23">
        <v>1222000</v>
      </c>
      <c r="AG67" s="23">
        <v>662000</v>
      </c>
      <c r="AH67" s="23">
        <v>278000</v>
      </c>
      <c r="AI67" s="27">
        <v>-205000</v>
      </c>
      <c r="AJ67" s="22">
        <v>0.93509272467902993</v>
      </c>
      <c r="AK67" s="22">
        <v>1.6014729950900164</v>
      </c>
      <c r="AL67" s="22">
        <v>5.9410876132930515</v>
      </c>
      <c r="AM67" s="22">
        <v>10.719424460431656</v>
      </c>
      <c r="AN67" s="28">
        <v>-5.0878048780487806</v>
      </c>
      <c r="AO67" s="24">
        <f t="array" ref="AO67">('1100'!G67) / 100</f>
        <v>0.19010000000000002</v>
      </c>
      <c r="AP67" s="24">
        <f t="array" ref="AP67">('1100'!H67) / 100</f>
        <v>0.17460000000000001</v>
      </c>
      <c r="AQ67" s="24">
        <f t="array" ref="AQ67">('1100'!I67) / 100</f>
        <v>3.56E-2</v>
      </c>
      <c r="AR67" s="24">
        <f t="array" ref="AR67">('1100'!J67) / 100</f>
        <v>2.5499999999999998E-2</v>
      </c>
      <c r="AS67" s="24">
        <f t="array" ref="AS67">('1100'!K67) / 100</f>
        <v>-9.3399999999999997E-2</v>
      </c>
      <c r="AT67" s="25">
        <f t="array" ref="AT67">('1100'!A67) / 100</f>
        <v>0.78400000000000003</v>
      </c>
      <c r="AU67" s="25">
        <f t="array" ref="AU67">('1100'!B67) / 100</f>
        <v>0.74199999999999999</v>
      </c>
      <c r="AV67" s="25">
        <f t="array" ref="AV67">('1100'!C67) / 100</f>
        <v>0.45899999999999996</v>
      </c>
      <c r="AW67" s="25">
        <f t="array" ref="AW67">('1100'!D67) / 100</f>
        <v>0.35600000000000004</v>
      </c>
      <c r="AX67" s="25">
        <f t="array" ref="AX67">('1100'!E67) / 100</f>
        <v>0.57799999999999996</v>
      </c>
      <c r="AY67" s="23">
        <v>5891000</v>
      </c>
      <c r="AZ67" s="23">
        <v>5581000</v>
      </c>
      <c r="BA67" s="23">
        <v>5343000</v>
      </c>
      <c r="BB67" s="23">
        <v>4030000</v>
      </c>
      <c r="BC67" s="23">
        <v>4278000</v>
      </c>
      <c r="BD67" s="22">
        <v>10418000</v>
      </c>
      <c r="BE67" s="22">
        <v>10285000</v>
      </c>
      <c r="BF67" s="22">
        <v>11032000</v>
      </c>
      <c r="BG67" s="22">
        <v>6078000</v>
      </c>
      <c r="BH67" s="22">
        <v>3961000</v>
      </c>
      <c r="BI67" s="23">
        <v>17500000</v>
      </c>
      <c r="BJ67" s="23">
        <v>18769000</v>
      </c>
      <c r="BK67" s="23">
        <v>17436000</v>
      </c>
      <c r="BL67" s="23">
        <v>10800000</v>
      </c>
      <c r="BM67" s="23">
        <v>8964000</v>
      </c>
      <c r="BN67" s="22">
        <v>13714000</v>
      </c>
      <c r="BO67" s="22">
        <v>13934000</v>
      </c>
      <c r="BP67" s="22">
        <v>8002000</v>
      </c>
      <c r="BQ67" s="22">
        <v>3841000</v>
      </c>
      <c r="BR67" s="22">
        <v>5179000</v>
      </c>
    </row>
    <row r="68" spans="1:70" ht="15" x14ac:dyDescent="0.2">
      <c r="A68" s="13" t="s">
        <v>234</v>
      </c>
      <c r="B68" s="14">
        <v>5563512374</v>
      </c>
      <c r="C68" s="14" t="s">
        <v>235</v>
      </c>
      <c r="D68" s="14" t="s">
        <v>67</v>
      </c>
      <c r="E68" s="15" t="s">
        <v>79</v>
      </c>
      <c r="F68" s="16">
        <v>0.13800000000000001</v>
      </c>
      <c r="G68" s="16">
        <v>0.13980000000000001</v>
      </c>
      <c r="H68" s="16">
        <v>0.1368</v>
      </c>
      <c r="I68" s="16">
        <v>0.15570000000000001</v>
      </c>
      <c r="J68" s="16">
        <v>0.152</v>
      </c>
      <c r="K68" s="18">
        <v>8.5000000000000006E-2</v>
      </c>
      <c r="L68" s="18">
        <v>8.4000000000000005E-2</v>
      </c>
      <c r="M68" s="18">
        <v>2.1999999999999999E-2</v>
      </c>
      <c r="N68" s="18">
        <v>5.0000000000000001E-3</v>
      </c>
      <c r="O68" s="18">
        <v>1.7999999999999999E-2</v>
      </c>
      <c r="P68" s="19">
        <v>-2.5500000000000102E-3</v>
      </c>
      <c r="Q68" s="19">
        <v>-2.9762000000000001E-4</v>
      </c>
      <c r="R68" s="20">
        <v>0</v>
      </c>
      <c r="S68" s="19">
        <v>7.6778999999999997E-3</v>
      </c>
      <c r="T68" s="19">
        <v>3.46414000000001E-2</v>
      </c>
      <c r="U68" s="34">
        <v>0</v>
      </c>
      <c r="V68" s="34">
        <v>0</v>
      </c>
      <c r="W68" s="34">
        <v>0</v>
      </c>
      <c r="X68" s="34">
        <v>0</v>
      </c>
      <c r="Y68" s="34">
        <v>0</v>
      </c>
      <c r="Z68" s="22">
        <v>2027</v>
      </c>
      <c r="AA68" s="22">
        <v>2002</v>
      </c>
      <c r="AB68" s="22">
        <v>1683</v>
      </c>
      <c r="AC68" s="22">
        <v>1506</v>
      </c>
      <c r="AD68" s="22">
        <v>1349</v>
      </c>
      <c r="AE68" s="23">
        <v>1499000</v>
      </c>
      <c r="AF68" s="23">
        <v>1147000</v>
      </c>
      <c r="AG68" s="23">
        <v>1254000</v>
      </c>
      <c r="AH68" s="23">
        <v>1113000</v>
      </c>
      <c r="AI68" s="23">
        <v>1306000</v>
      </c>
      <c r="AJ68" s="22">
        <v>0.33955970647098066</v>
      </c>
      <c r="AK68" s="22">
        <v>0.50130775937227545</v>
      </c>
      <c r="AL68" s="22">
        <v>0.45374800637958534</v>
      </c>
      <c r="AM68" s="22">
        <v>0.41868823000898475</v>
      </c>
      <c r="AN68" s="22">
        <v>0.36906584992343033</v>
      </c>
      <c r="AO68" s="24">
        <f t="array" ref="AO68">('1100'!G68) / 100</f>
        <v>0.22339999999999999</v>
      </c>
      <c r="AP68" s="24">
        <f t="array" ref="AP68">('1100'!H68) / 100</f>
        <v>0.1764</v>
      </c>
      <c r="AQ68" s="24">
        <f t="array" ref="AQ68">('1100'!I68) / 100</f>
        <v>0.22870000000000001</v>
      </c>
      <c r="AR68" s="24">
        <f t="array" ref="AR68">('1100'!J68) / 100</f>
        <v>0.2329</v>
      </c>
      <c r="AS68" s="24">
        <f t="array" ref="AS68">('1100'!K68) / 100</f>
        <v>0.2631</v>
      </c>
      <c r="AT68" s="25">
        <f t="array" ref="AT68">('1100'!A68) / 100</f>
        <v>0.629</v>
      </c>
      <c r="AU68" s="25">
        <f t="array" ref="AU68">('1100'!B68) / 100</f>
        <v>0.63500000000000001</v>
      </c>
      <c r="AV68" s="25">
        <f t="array" ref="AV68">('1100'!C68) / 100</f>
        <v>0.64500000000000002</v>
      </c>
      <c r="AW68" s="25">
        <f t="array" ref="AW68">('1100'!D68) / 100</f>
        <v>0.63200000000000001</v>
      </c>
      <c r="AX68" s="25">
        <f t="array" ref="AX68">('1100'!E68) / 100</f>
        <v>0.61899999999999999</v>
      </c>
      <c r="AY68" s="23">
        <v>5767000</v>
      </c>
      <c r="AZ68" s="23">
        <v>5252000</v>
      </c>
      <c r="BA68" s="23">
        <v>4720000</v>
      </c>
      <c r="BB68" s="23">
        <v>3937000</v>
      </c>
      <c r="BC68" s="23">
        <v>4377000</v>
      </c>
      <c r="BD68" s="22">
        <v>1803000</v>
      </c>
      <c r="BE68" s="22">
        <v>1866000</v>
      </c>
      <c r="BF68" s="22">
        <v>1740000</v>
      </c>
      <c r="BG68" s="22">
        <v>963000</v>
      </c>
      <c r="BH68" s="22">
        <v>1046000</v>
      </c>
      <c r="BI68" s="23">
        <v>8340000</v>
      </c>
      <c r="BJ68" s="23">
        <v>7340000</v>
      </c>
      <c r="BK68" s="23">
        <v>6136000</v>
      </c>
      <c r="BL68" s="23">
        <v>5319000</v>
      </c>
      <c r="BM68" s="23">
        <v>4800000</v>
      </c>
      <c r="BN68" s="22">
        <v>5247000</v>
      </c>
      <c r="BO68" s="22">
        <v>4663000</v>
      </c>
      <c r="BP68" s="22">
        <v>3956000</v>
      </c>
      <c r="BQ68" s="22">
        <v>3364000</v>
      </c>
      <c r="BR68" s="22">
        <v>2973000</v>
      </c>
    </row>
    <row r="69" spans="1:70" ht="15" x14ac:dyDescent="0.2">
      <c r="A69" s="13" t="s">
        <v>236</v>
      </c>
      <c r="B69" s="14">
        <v>5560345174</v>
      </c>
      <c r="C69" s="14" t="s">
        <v>237</v>
      </c>
      <c r="D69" s="14" t="s">
        <v>67</v>
      </c>
      <c r="E69" s="15" t="s">
        <v>68</v>
      </c>
      <c r="F69" s="16">
        <v>8.5300000000000001E-2</v>
      </c>
      <c r="G69" s="16">
        <v>8.0500000000000002E-2</v>
      </c>
      <c r="H69" s="16">
        <v>8.7999999999999995E-2</v>
      </c>
      <c r="I69" s="16">
        <v>8.3000000000000004E-2</v>
      </c>
      <c r="J69" s="16">
        <v>8.8999999999999996E-2</v>
      </c>
      <c r="K69" s="18">
        <v>8.5000000000000006E-2</v>
      </c>
      <c r="L69" s="18">
        <v>8.4000000000000005E-2</v>
      </c>
      <c r="M69" s="18">
        <v>2.1999999999999999E-2</v>
      </c>
      <c r="N69" s="18">
        <v>5.0000000000000001E-3</v>
      </c>
      <c r="O69" s="18">
        <v>1.7999999999999999E-2</v>
      </c>
      <c r="P69" s="19">
        <v>-2.5500000000000102E-3</v>
      </c>
      <c r="Q69" s="19">
        <v>-2.9762000000000001E-4</v>
      </c>
      <c r="R69" s="20">
        <v>0</v>
      </c>
      <c r="S69" s="19">
        <v>7.6778999999999997E-3</v>
      </c>
      <c r="T69" s="19">
        <v>3.46414000000001E-2</v>
      </c>
      <c r="U69" s="34">
        <v>0</v>
      </c>
      <c r="V69" s="34">
        <v>0</v>
      </c>
      <c r="W69" s="34">
        <v>0</v>
      </c>
      <c r="X69" s="34">
        <v>0</v>
      </c>
      <c r="Y69" s="34">
        <v>0</v>
      </c>
      <c r="Z69" s="22">
        <v>12243</v>
      </c>
      <c r="AA69" s="22">
        <v>12485</v>
      </c>
      <c r="AB69" s="22">
        <v>13002</v>
      </c>
      <c r="AC69" s="22">
        <v>14388</v>
      </c>
      <c r="AD69" s="22">
        <v>15273</v>
      </c>
      <c r="AE69" s="23">
        <v>3021000</v>
      </c>
      <c r="AF69" s="23">
        <v>2589000</v>
      </c>
      <c r="AG69" s="23">
        <v>3132000</v>
      </c>
      <c r="AH69" s="23">
        <v>2772000</v>
      </c>
      <c r="AI69" s="23">
        <v>2703000</v>
      </c>
      <c r="AJ69" s="22">
        <v>1.892088712346905</v>
      </c>
      <c r="AK69" s="22">
        <v>2.6149092313634608</v>
      </c>
      <c r="AL69" s="22">
        <v>1.340676883780332</v>
      </c>
      <c r="AM69" s="22">
        <v>1.5202020202020201</v>
      </c>
      <c r="AN69" s="22">
        <v>1.3392526822049575</v>
      </c>
      <c r="AO69" s="24">
        <f t="array" ref="AO69">('1100'!G69) / 100</f>
        <v>3.3099999999999997E-2</v>
      </c>
      <c r="AP69" s="24">
        <f t="array" ref="AP69">('1100'!H69) / 100</f>
        <v>2.5600000000000001E-2</v>
      </c>
      <c r="AQ69" s="24">
        <f t="array" ref="AQ69">('1100'!I69) / 100</f>
        <v>3.4500000000000003E-2</v>
      </c>
      <c r="AR69" s="24">
        <f t="array" ref="AR69">('1100'!J69) / 100</f>
        <v>2.58E-2</v>
      </c>
      <c r="AS69" s="24">
        <f t="array" ref="AS69">('1100'!K69) / 100</f>
        <v>2.2799999999999997E-2</v>
      </c>
      <c r="AT69" s="25">
        <f t="array" ref="AT69">('1100'!A69) / 100</f>
        <v>0.22899999999999998</v>
      </c>
      <c r="AU69" s="25">
        <f t="array" ref="AU69">('1100'!B69) / 100</f>
        <v>0.24299999999999999</v>
      </c>
      <c r="AV69" s="25">
        <f t="array" ref="AV69">('1100'!C69) / 100</f>
        <v>0.19899999999999998</v>
      </c>
      <c r="AW69" s="25">
        <f t="array" ref="AW69">('1100'!D69) / 100</f>
        <v>0.13900000000000001</v>
      </c>
      <c r="AX69" s="25">
        <f t="array" ref="AX69">('1100'!E69) / 100</f>
        <v>0.10199999999999999</v>
      </c>
      <c r="AY69" s="23">
        <v>57216000</v>
      </c>
      <c r="AZ69" s="23">
        <v>54541000</v>
      </c>
      <c r="BA69" s="23">
        <v>53589000</v>
      </c>
      <c r="BB69" s="23">
        <v>53943000</v>
      </c>
      <c r="BC69" s="23">
        <v>58273000</v>
      </c>
      <c r="BD69" s="22">
        <v>1913000</v>
      </c>
      <c r="BE69" s="22">
        <v>1943000</v>
      </c>
      <c r="BF69" s="22">
        <v>1852000</v>
      </c>
      <c r="BG69" s="22">
        <v>1800000</v>
      </c>
      <c r="BH69" s="22">
        <v>1893000</v>
      </c>
      <c r="BI69" s="23">
        <v>31950000</v>
      </c>
      <c r="BJ69" s="23">
        <v>29565000</v>
      </c>
      <c r="BK69" s="23">
        <v>29421000</v>
      </c>
      <c r="BL69" s="23">
        <v>28549000</v>
      </c>
      <c r="BM69" s="23">
        <v>29890000</v>
      </c>
      <c r="BN69" s="22">
        <v>7324000</v>
      </c>
      <c r="BO69" s="22">
        <v>7183000</v>
      </c>
      <c r="BP69" s="22">
        <v>5844000</v>
      </c>
      <c r="BQ69" s="22">
        <v>3972000</v>
      </c>
      <c r="BR69" s="22">
        <v>3044000</v>
      </c>
    </row>
    <row r="70" spans="1:70" ht="15" x14ac:dyDescent="0.2">
      <c r="A70" s="13" t="s">
        <v>238</v>
      </c>
      <c r="B70" s="14">
        <v>5563500916</v>
      </c>
      <c r="C70" s="14" t="s">
        <v>239</v>
      </c>
      <c r="D70" s="14" t="s">
        <v>67</v>
      </c>
      <c r="E70" s="15" t="s">
        <v>68</v>
      </c>
      <c r="F70" s="16">
        <v>0.108</v>
      </c>
      <c r="G70" s="16">
        <v>0.10199999999999999</v>
      </c>
      <c r="H70" s="16">
        <v>0.10199999999999999</v>
      </c>
      <c r="I70" s="16">
        <v>0.10199999999999999</v>
      </c>
      <c r="J70" s="16">
        <v>0.10199999999999999</v>
      </c>
      <c r="K70" s="18">
        <v>8.5000000000000006E-2</v>
      </c>
      <c r="L70" s="18">
        <v>8.4000000000000005E-2</v>
      </c>
      <c r="M70" s="18">
        <v>2.1999999999999999E-2</v>
      </c>
      <c r="N70" s="18">
        <v>5.0000000000000001E-3</v>
      </c>
      <c r="O70" s="18">
        <v>1.7999999999999999E-2</v>
      </c>
      <c r="P70" s="19">
        <v>-2.5500000000000102E-3</v>
      </c>
      <c r="Q70" s="19">
        <v>-2.9762000000000001E-4</v>
      </c>
      <c r="R70" s="20">
        <v>0</v>
      </c>
      <c r="S70" s="19">
        <v>7.6778999999999997E-3</v>
      </c>
      <c r="T70" s="19">
        <v>3.46414000000001E-2</v>
      </c>
      <c r="U70" s="34">
        <f>1.1*1000</f>
        <v>1100</v>
      </c>
      <c r="V70" s="34">
        <f>1*1000</f>
        <v>1000</v>
      </c>
      <c r="W70" s="34">
        <f>0.9*1000</f>
        <v>900</v>
      </c>
      <c r="X70" s="34">
        <v>0</v>
      </c>
      <c r="Y70" s="34">
        <f>11.4*1000</f>
        <v>11400</v>
      </c>
      <c r="Z70" s="22">
        <v>2450</v>
      </c>
      <c r="AA70" s="22">
        <v>2313</v>
      </c>
      <c r="AB70" s="22">
        <v>2060</v>
      </c>
      <c r="AC70" s="22">
        <v>2064</v>
      </c>
      <c r="AD70" s="22">
        <v>2579</v>
      </c>
      <c r="AE70" s="23">
        <v>1895000</v>
      </c>
      <c r="AF70" s="23">
        <v>1754300</v>
      </c>
      <c r="AG70" s="23">
        <v>1233200</v>
      </c>
      <c r="AH70" s="23">
        <v>775300</v>
      </c>
      <c r="AI70" s="23">
        <v>768100</v>
      </c>
      <c r="AJ70" s="22">
        <v>1.1582585751978891</v>
      </c>
      <c r="AK70" s="22">
        <v>1.469303995895799</v>
      </c>
      <c r="AL70" s="22">
        <v>1.0641420694129096</v>
      </c>
      <c r="AM70" s="22">
        <v>2.6744486005417256</v>
      </c>
      <c r="AN70" s="22">
        <v>3.8836089050904832</v>
      </c>
      <c r="AO70" s="24">
        <f t="array" ref="AO70">('1100'!G70) / 100</f>
        <v>0.1668</v>
      </c>
      <c r="AP70" s="24">
        <f t="array" ref="AP70">('1100'!H70) / 100</f>
        <v>0.17059999999999997</v>
      </c>
      <c r="AQ70" s="24">
        <f t="array" ref="AQ70">('1100'!I70) / 100</f>
        <v>0.1502</v>
      </c>
      <c r="AR70" s="24">
        <f t="array" ref="AR70">('1100'!J70) / 100</f>
        <v>9.0200000000000002E-2</v>
      </c>
      <c r="AS70" s="24">
        <f t="array" ref="AS70">('1100'!K70) / 100</f>
        <v>7.8799999999999995E-2</v>
      </c>
      <c r="AT70" s="25">
        <f t="array" ref="AT70">('1100'!A70) / 100</f>
        <v>0.60099999999999998</v>
      </c>
      <c r="AU70" s="25">
        <f t="array" ref="AU70">('1100'!B70) / 100</f>
        <v>0.53799999999999992</v>
      </c>
      <c r="AV70" s="25">
        <f t="array" ref="AV70">('1100'!C70) / 100</f>
        <v>0.59599999999999997</v>
      </c>
      <c r="AW70" s="25">
        <f t="array" ref="AW70">('1100'!D70) / 100</f>
        <v>0.53299999999999992</v>
      </c>
      <c r="AX70" s="25">
        <f t="array" ref="AX70">('1100'!E70) / 100</f>
        <v>0.44700000000000001</v>
      </c>
      <c r="AY70" s="23">
        <v>9643600</v>
      </c>
      <c r="AZ70" s="23">
        <v>8967500</v>
      </c>
      <c r="BA70" s="23">
        <v>6830100</v>
      </c>
      <c r="BB70" s="23">
        <v>6245000</v>
      </c>
      <c r="BC70" s="23">
        <v>6981500</v>
      </c>
      <c r="BD70" s="22">
        <v>1095200</v>
      </c>
      <c r="BE70" s="22">
        <v>1118300</v>
      </c>
      <c r="BF70" s="22">
        <v>881600</v>
      </c>
      <c r="BG70" s="22">
        <v>829900</v>
      </c>
      <c r="BH70" s="22">
        <v>895600</v>
      </c>
      <c r="BI70" s="23">
        <v>10739300</v>
      </c>
      <c r="BJ70" s="23">
        <v>10943600</v>
      </c>
      <c r="BK70" s="23">
        <v>7660600</v>
      </c>
      <c r="BL70" s="23">
        <v>7216700</v>
      </c>
      <c r="BM70" s="23">
        <v>8394300</v>
      </c>
      <c r="BN70" s="22">
        <v>6459300</v>
      </c>
      <c r="BO70" s="22">
        <v>5889400</v>
      </c>
      <c r="BP70" s="22">
        <v>4566700</v>
      </c>
      <c r="BQ70" s="22">
        <v>3845000</v>
      </c>
      <c r="BR70" s="22">
        <v>3754300</v>
      </c>
    </row>
    <row r="71" spans="1:70" ht="15" x14ac:dyDescent="0.2">
      <c r="A71" s="26" t="s">
        <v>240</v>
      </c>
      <c r="B71" s="14">
        <v>5563748309</v>
      </c>
      <c r="C71" s="14" t="s">
        <v>241</v>
      </c>
      <c r="D71" s="14" t="s">
        <v>67</v>
      </c>
      <c r="E71" s="15" t="s">
        <v>68</v>
      </c>
      <c r="F71" s="16">
        <v>9.7000000000000003E-2</v>
      </c>
      <c r="G71" s="16">
        <v>8.3699999999999997E-2</v>
      </c>
      <c r="H71" s="16">
        <v>5.9700000000000003E-2</v>
      </c>
      <c r="I71" s="16">
        <v>5.8000000000000003E-2</v>
      </c>
      <c r="J71" s="16">
        <v>5.3999999999999999E-2</v>
      </c>
      <c r="K71" s="18">
        <v>8.5000000000000006E-2</v>
      </c>
      <c r="L71" s="18">
        <v>8.4000000000000005E-2</v>
      </c>
      <c r="M71" s="18">
        <v>2.1999999999999999E-2</v>
      </c>
      <c r="N71" s="18">
        <v>5.0000000000000001E-3</v>
      </c>
      <c r="O71" s="18">
        <v>1.7999999999999999E-2</v>
      </c>
      <c r="P71" s="19">
        <v>-2.5500000000000102E-3</v>
      </c>
      <c r="Q71" s="19">
        <v>-2.9762000000000001E-4</v>
      </c>
      <c r="R71" s="20">
        <v>0</v>
      </c>
      <c r="S71" s="19">
        <v>7.6778999999999997E-3</v>
      </c>
      <c r="T71" s="19">
        <v>3.46414000000001E-2</v>
      </c>
      <c r="U71" s="34">
        <v>0</v>
      </c>
      <c r="V71" s="34">
        <v>0</v>
      </c>
      <c r="W71" s="34">
        <v>0</v>
      </c>
      <c r="X71" s="34">
        <v>0</v>
      </c>
      <c r="Y71" s="34">
        <v>0</v>
      </c>
      <c r="Z71" s="22">
        <v>22462</v>
      </c>
      <c r="AA71" s="22">
        <v>21333</v>
      </c>
      <c r="AB71" s="22">
        <v>20455</v>
      </c>
      <c r="AC71" s="22">
        <v>10740</v>
      </c>
      <c r="AD71" s="22">
        <v>16994</v>
      </c>
      <c r="AE71" s="23">
        <v>7175000</v>
      </c>
      <c r="AF71" s="23">
        <v>6023000</v>
      </c>
      <c r="AG71" s="23">
        <v>4639000</v>
      </c>
      <c r="AH71" s="23">
        <v>6219000</v>
      </c>
      <c r="AI71" s="23">
        <v>3164000</v>
      </c>
      <c r="AJ71" s="22">
        <v>3.2891986062717771</v>
      </c>
      <c r="AK71" s="22">
        <v>2.4517682218163706</v>
      </c>
      <c r="AL71" s="22">
        <v>2.4634619530071138</v>
      </c>
      <c r="AM71" s="22">
        <v>1.8755426917510853</v>
      </c>
      <c r="AN71" s="22">
        <v>4.3081542351453859</v>
      </c>
      <c r="AO71" s="24">
        <f t="array" ref="AO71">('1100'!G71) / 100</f>
        <v>0.15939999999999999</v>
      </c>
      <c r="AP71" s="24">
        <f t="array" ref="AP71">('1100'!H71) / 100</f>
        <v>0.15720000000000001</v>
      </c>
      <c r="AQ71" s="24">
        <f t="array" ref="AQ71">('1100'!I71) / 100</f>
        <v>0.14899999999999999</v>
      </c>
      <c r="AR71" s="24">
        <f t="array" ref="AR71">('1100'!J71) / 100</f>
        <v>0.15229999999999999</v>
      </c>
      <c r="AS71" s="24">
        <f t="array" ref="AS71">('1100'!K71) / 100</f>
        <v>0.1288</v>
      </c>
      <c r="AT71" s="25">
        <f t="array" ref="AT71">('1100'!A71) / 100</f>
        <v>0.44299999999999995</v>
      </c>
      <c r="AU71" s="25">
        <f t="array" ref="AU71">('1100'!B71) / 100</f>
        <v>0.51700000000000002</v>
      </c>
      <c r="AV71" s="25">
        <f t="array" ref="AV71">('1100'!C71) / 100</f>
        <v>0.49399999999999999</v>
      </c>
      <c r="AW71" s="25">
        <f t="array" ref="AW71">('1100'!D71) / 100</f>
        <v>0.45899999999999996</v>
      </c>
      <c r="AX71" s="25">
        <f t="array" ref="AX71">('1100'!E71) / 100</f>
        <v>0.47</v>
      </c>
      <c r="AY71" s="23">
        <v>47473000</v>
      </c>
      <c r="AZ71" s="23">
        <v>40894000</v>
      </c>
      <c r="BA71" s="23">
        <v>31324000</v>
      </c>
      <c r="BB71" s="23">
        <v>27863000</v>
      </c>
      <c r="BC71" s="23">
        <v>25596000</v>
      </c>
      <c r="BD71" s="22">
        <v>22925000</v>
      </c>
      <c r="BE71" s="22">
        <v>17630000</v>
      </c>
      <c r="BF71" s="22">
        <v>15453000</v>
      </c>
      <c r="BG71" s="22">
        <v>14210000</v>
      </c>
      <c r="BH71" s="22">
        <v>14071000</v>
      </c>
      <c r="BI71" s="23">
        <v>68104000</v>
      </c>
      <c r="BJ71" s="23">
        <v>53994000</v>
      </c>
      <c r="BK71" s="23">
        <v>43394000</v>
      </c>
      <c r="BL71" s="23">
        <v>38337000</v>
      </c>
      <c r="BM71" s="23">
        <v>37229000</v>
      </c>
      <c r="BN71" s="22">
        <v>30160000</v>
      </c>
      <c r="BO71" s="22">
        <v>27935000</v>
      </c>
      <c r="BP71" s="22">
        <v>21438000</v>
      </c>
      <c r="BQ71" s="22">
        <v>17588000</v>
      </c>
      <c r="BR71" s="22">
        <v>17509000</v>
      </c>
    </row>
    <row r="72" spans="1:70" ht="15" x14ac:dyDescent="0.2">
      <c r="A72" s="26" t="s">
        <v>242</v>
      </c>
      <c r="B72" s="14">
        <v>5565282752</v>
      </c>
      <c r="C72" s="14" t="s">
        <v>243</v>
      </c>
      <c r="D72" s="14" t="s">
        <v>67</v>
      </c>
      <c r="E72" s="15" t="s">
        <v>68</v>
      </c>
      <c r="F72" s="16">
        <v>0.10199999999999999</v>
      </c>
      <c r="G72" s="16">
        <f>0.101</f>
        <v>0.10100000000000001</v>
      </c>
      <c r="H72" s="16">
        <f>0.081</f>
        <v>8.1000000000000003E-2</v>
      </c>
      <c r="I72" s="16">
        <f>0.091</f>
        <v>9.0999999999999998E-2</v>
      </c>
      <c r="J72" s="16">
        <f>0.096</f>
        <v>9.6000000000000002E-2</v>
      </c>
      <c r="K72" s="18">
        <v>8.5000000000000006E-2</v>
      </c>
      <c r="L72" s="18">
        <v>8.4000000000000005E-2</v>
      </c>
      <c r="M72" s="18">
        <v>2.1999999999999999E-2</v>
      </c>
      <c r="N72" s="18">
        <v>5.0000000000000001E-3</v>
      </c>
      <c r="O72" s="18">
        <v>1.7999999999999999E-2</v>
      </c>
      <c r="P72" s="19">
        <v>-2.5500000000000102E-3</v>
      </c>
      <c r="Q72" s="19">
        <v>-2.9762000000000001E-4</v>
      </c>
      <c r="R72" s="20">
        <v>0</v>
      </c>
      <c r="S72" s="19">
        <v>7.6778999999999997E-3</v>
      </c>
      <c r="T72" s="19">
        <v>3.46414000000001E-2</v>
      </c>
      <c r="U72" s="34">
        <v>0</v>
      </c>
      <c r="V72" s="34">
        <v>0</v>
      </c>
      <c r="W72" s="34">
        <v>0</v>
      </c>
      <c r="X72" s="34">
        <v>0</v>
      </c>
      <c r="Y72" s="34">
        <v>0</v>
      </c>
      <c r="Z72" s="22">
        <v>5571</v>
      </c>
      <c r="AA72" s="22">
        <v>6244</v>
      </c>
      <c r="AB72" s="22">
        <v>6041</v>
      </c>
      <c r="AC72" s="22">
        <v>5977</v>
      </c>
      <c r="AD72" s="22">
        <v>6161</v>
      </c>
      <c r="AE72" s="23">
        <v>697000</v>
      </c>
      <c r="AF72" s="23">
        <v>995000</v>
      </c>
      <c r="AG72" s="23">
        <v>1861000</v>
      </c>
      <c r="AH72" s="23">
        <v>1289000</v>
      </c>
      <c r="AI72" s="23">
        <v>1970000</v>
      </c>
      <c r="AJ72" s="22">
        <v>7.4820659971305599</v>
      </c>
      <c r="AK72" s="22">
        <v>3.6211055276381909</v>
      </c>
      <c r="AL72" s="22">
        <v>1.0075228371843095</v>
      </c>
      <c r="AM72" s="22">
        <v>1.6276183087664857</v>
      </c>
      <c r="AN72" s="22">
        <v>2.2939086294416242</v>
      </c>
      <c r="AO72" s="24">
        <f t="array" ref="AO72">('1100'!G72) / 100</f>
        <v>-5.3E-3</v>
      </c>
      <c r="AP72" s="24">
        <f t="array" ref="AP72">('1100'!H72) / 100</f>
        <v>3.0699999999999998E-2</v>
      </c>
      <c r="AQ72" s="24">
        <f t="array" ref="AQ72">('1100'!I72) / 100</f>
        <v>8.43E-2</v>
      </c>
      <c r="AR72" s="24">
        <f t="array" ref="AR72">('1100'!J72) / 100</f>
        <v>3.4799999999999998E-2</v>
      </c>
      <c r="AS72" s="24">
        <f t="array" ref="AS72">('1100'!K72) / 100</f>
        <v>8.1300000000000011E-2</v>
      </c>
      <c r="AT72" s="25">
        <f t="array" ref="AT72">('1100'!A72) / 100</f>
        <v>0.318</v>
      </c>
      <c r="AU72" s="25">
        <f t="array" ref="AU72">('1100'!B72) / 100</f>
        <v>0.36899999999999999</v>
      </c>
      <c r="AV72" s="25">
        <f t="array" ref="AV72">('1100'!C72) / 100</f>
        <v>0.46299999999999997</v>
      </c>
      <c r="AW72" s="25">
        <f t="array" ref="AW72">('1100'!D72) / 100</f>
        <v>0.4</v>
      </c>
      <c r="AX72" s="25">
        <f t="array" ref="AX72">('1100'!E72) / 100</f>
        <v>0.39399999999999996</v>
      </c>
      <c r="AY72" s="23">
        <v>14037000</v>
      </c>
      <c r="AZ72" s="23">
        <v>15662000</v>
      </c>
      <c r="BA72" s="23">
        <v>14253000</v>
      </c>
      <c r="BB72" s="23">
        <v>13444000</v>
      </c>
      <c r="BC72" s="23">
        <v>14362000</v>
      </c>
      <c r="BD72" s="22">
        <v>3247000</v>
      </c>
      <c r="BE72" s="22">
        <v>3232000</v>
      </c>
      <c r="BF72" s="22">
        <v>3014000</v>
      </c>
      <c r="BG72" s="22">
        <v>2830000</v>
      </c>
      <c r="BH72" s="22">
        <v>3042000</v>
      </c>
      <c r="BI72" s="23">
        <v>13615000</v>
      </c>
      <c r="BJ72" s="23">
        <v>12772000</v>
      </c>
      <c r="BK72" s="23">
        <v>10629000</v>
      </c>
      <c r="BL72" s="23">
        <v>10085000</v>
      </c>
      <c r="BM72" s="23">
        <v>10846000</v>
      </c>
      <c r="BN72" s="22">
        <v>4328000</v>
      </c>
      <c r="BO72" s="22">
        <v>4715000</v>
      </c>
      <c r="BP72" s="22">
        <v>4923000</v>
      </c>
      <c r="BQ72" s="22">
        <v>4034000</v>
      </c>
      <c r="BR72" s="22">
        <v>4277000</v>
      </c>
    </row>
    <row r="73" spans="1:70" ht="15" x14ac:dyDescent="0.2">
      <c r="A73" s="13" t="s">
        <v>244</v>
      </c>
      <c r="B73" s="14">
        <v>5560804592</v>
      </c>
      <c r="C73" s="14" t="s">
        <v>245</v>
      </c>
      <c r="D73" s="14" t="s">
        <v>67</v>
      </c>
      <c r="E73" s="15" t="s">
        <v>68</v>
      </c>
      <c r="F73" s="16">
        <v>0.127</v>
      </c>
      <c r="G73" s="16">
        <v>0.121</v>
      </c>
      <c r="H73" s="16">
        <v>0.10100000000000001</v>
      </c>
      <c r="I73" s="16">
        <v>9.5299999999999996E-2</v>
      </c>
      <c r="J73" s="16">
        <v>8.5000000000000006E-2</v>
      </c>
      <c r="K73" s="18">
        <v>8.5000000000000006E-2</v>
      </c>
      <c r="L73" s="18">
        <v>8.4000000000000005E-2</v>
      </c>
      <c r="M73" s="18">
        <v>2.1999999999999999E-2</v>
      </c>
      <c r="N73" s="18">
        <v>5.0000000000000001E-3</v>
      </c>
      <c r="O73" s="18">
        <v>1.7999999999999999E-2</v>
      </c>
      <c r="P73" s="19">
        <v>-2.5500000000000201E-3</v>
      </c>
      <c r="Q73" s="19">
        <v>-2.9762000000000001E-4</v>
      </c>
      <c r="R73" s="20">
        <v>0</v>
      </c>
      <c r="S73" s="19">
        <v>7.6779000000000101E-3</v>
      </c>
      <c r="T73" s="19">
        <v>3.46414000000001E-2</v>
      </c>
      <c r="U73" s="34">
        <v>0</v>
      </c>
      <c r="V73" s="34">
        <v>0</v>
      </c>
      <c r="W73" s="34">
        <v>0</v>
      </c>
      <c r="X73" s="34">
        <v>0</v>
      </c>
      <c r="Y73" s="34">
        <v>0</v>
      </c>
      <c r="Z73" s="22">
        <v>5732</v>
      </c>
      <c r="AA73" s="22">
        <v>6627</v>
      </c>
      <c r="AB73" s="22">
        <v>8669</v>
      </c>
      <c r="AC73" s="22">
        <v>6721</v>
      </c>
      <c r="AD73" s="22">
        <v>5941</v>
      </c>
      <c r="AE73" s="23">
        <v>1243000</v>
      </c>
      <c r="AF73" s="23">
        <v>1409000</v>
      </c>
      <c r="AG73" s="23">
        <v>1816000</v>
      </c>
      <c r="AH73" s="23">
        <v>1436000</v>
      </c>
      <c r="AI73" s="23">
        <v>1275000</v>
      </c>
      <c r="AJ73" s="22">
        <v>1.413515687851971</v>
      </c>
      <c r="AK73" s="22">
        <v>1.4222853087295955</v>
      </c>
      <c r="AL73" s="22">
        <v>1.1976872246696035</v>
      </c>
      <c r="AM73" s="22">
        <v>0.84749303621169914</v>
      </c>
      <c r="AN73" s="22">
        <v>0.74039215686274507</v>
      </c>
      <c r="AO73" s="24">
        <f t="array" ref="AO73">('1100'!G73) / 100</f>
        <v>7.1900000000000006E-2</v>
      </c>
      <c r="AP73" s="24">
        <f t="array" ref="AP73">('1100'!H73) / 100</f>
        <v>8.6400000000000005E-2</v>
      </c>
      <c r="AQ73" s="24">
        <f t="array" ref="AQ73">('1100'!I73) / 100</f>
        <v>0.1263</v>
      </c>
      <c r="AR73" s="24">
        <f t="array" ref="AR73">('1100'!J73) / 100</f>
        <v>0.11410000000000001</v>
      </c>
      <c r="AS73" s="24">
        <f t="array" ref="AS73">('1100'!K73) / 100</f>
        <v>0.114</v>
      </c>
      <c r="AT73" s="25">
        <f t="array" ref="AT73">('1100'!A73) / 100</f>
        <v>0.55600000000000005</v>
      </c>
      <c r="AU73" s="25">
        <f t="array" ref="AU73">('1100'!B73) / 100</f>
        <v>0.53900000000000003</v>
      </c>
      <c r="AV73" s="25">
        <f t="array" ref="AV73">('1100'!C73) / 100</f>
        <v>0.47399999999999998</v>
      </c>
      <c r="AW73" s="25">
        <f t="array" ref="AW73">('1100'!D73) / 100</f>
        <v>0.42599999999999999</v>
      </c>
      <c r="AX73" s="25">
        <f t="array" ref="AX73">('1100'!E73) / 100</f>
        <v>0.48399999999999999</v>
      </c>
      <c r="AY73" s="23">
        <v>9556000</v>
      </c>
      <c r="AZ73" s="23">
        <v>10815000</v>
      </c>
      <c r="BA73" s="23">
        <v>11661000</v>
      </c>
      <c r="BB73" s="23">
        <v>9359000</v>
      </c>
      <c r="BC73" s="23">
        <v>7919000</v>
      </c>
      <c r="BD73" s="22">
        <v>2140000</v>
      </c>
      <c r="BE73" s="22">
        <v>2163000</v>
      </c>
      <c r="BF73" s="22">
        <v>1924000</v>
      </c>
      <c r="BG73" s="22">
        <v>781000</v>
      </c>
      <c r="BH73" s="22">
        <v>781000</v>
      </c>
      <c r="BI73" s="23">
        <v>9300000</v>
      </c>
      <c r="BJ73" s="23">
        <v>10007000</v>
      </c>
      <c r="BK73" s="23">
        <v>10055000</v>
      </c>
      <c r="BL73" s="23">
        <v>8684000</v>
      </c>
      <c r="BM73" s="23">
        <v>6134000</v>
      </c>
      <c r="BN73" s="22">
        <v>5171000</v>
      </c>
      <c r="BO73" s="22">
        <v>5392000</v>
      </c>
      <c r="BP73" s="22">
        <v>4768000</v>
      </c>
      <c r="BQ73" s="22">
        <v>3699000</v>
      </c>
      <c r="BR73" s="22">
        <v>2966000</v>
      </c>
    </row>
    <row r="74" spans="1:70" ht="15" x14ac:dyDescent="0.2">
      <c r="A74" s="13" t="s">
        <v>246</v>
      </c>
      <c r="B74" s="14">
        <v>5590736681</v>
      </c>
      <c r="C74" s="14" t="s">
        <v>247</v>
      </c>
      <c r="D74" s="14" t="s">
        <v>67</v>
      </c>
      <c r="E74" s="15" t="s">
        <v>90</v>
      </c>
      <c r="F74" s="16">
        <v>0.1353</v>
      </c>
      <c r="G74" s="16">
        <v>9.4E-2</v>
      </c>
      <c r="H74" s="16">
        <v>9.4E-2</v>
      </c>
      <c r="I74" s="16">
        <v>8.6400000000000005E-2</v>
      </c>
      <c r="J74" s="16">
        <v>9.4E-2</v>
      </c>
      <c r="K74" s="18">
        <v>8.5000000000000006E-2</v>
      </c>
      <c r="L74" s="18">
        <v>8.4000000000000005E-2</v>
      </c>
      <c r="M74" s="18">
        <v>2.1999999999999999E-2</v>
      </c>
      <c r="N74" s="18">
        <v>5.0000000000000001E-3</v>
      </c>
      <c r="O74" s="18">
        <v>1.7999999999999999E-2</v>
      </c>
      <c r="P74" s="19">
        <v>-2.5500000000000201E-3</v>
      </c>
      <c r="Q74" s="19">
        <v>-2.9762000000000001E-4</v>
      </c>
      <c r="R74" s="20">
        <v>0</v>
      </c>
      <c r="S74" s="19">
        <v>7.6779000000000101E-3</v>
      </c>
      <c r="T74" s="19">
        <v>3.46414000000001E-2</v>
      </c>
      <c r="U74" s="34">
        <v>0</v>
      </c>
      <c r="V74" s="34">
        <v>0</v>
      </c>
      <c r="W74" s="34">
        <v>0</v>
      </c>
      <c r="X74" s="34">
        <v>0</v>
      </c>
      <c r="Y74" s="34">
        <v>0</v>
      </c>
      <c r="Z74" s="22">
        <v>745</v>
      </c>
      <c r="AA74" s="22">
        <v>704</v>
      </c>
      <c r="AB74" s="22">
        <v>654</v>
      </c>
      <c r="AC74" s="22">
        <v>561</v>
      </c>
      <c r="AD74" s="22">
        <v>495</v>
      </c>
      <c r="AE74" s="23">
        <v>3339900</v>
      </c>
      <c r="AF74" s="23">
        <v>2206500</v>
      </c>
      <c r="AG74" s="23">
        <v>2613868</v>
      </c>
      <c r="AH74" s="23">
        <v>1604729</v>
      </c>
      <c r="AI74" s="23">
        <v>551752</v>
      </c>
      <c r="AJ74" s="22">
        <v>0</v>
      </c>
      <c r="AK74" s="22">
        <v>0</v>
      </c>
      <c r="AL74" s="22">
        <v>0</v>
      </c>
      <c r="AM74" s="22">
        <v>0</v>
      </c>
      <c r="AN74" s="22">
        <v>0</v>
      </c>
      <c r="AO74" s="24">
        <f t="array" ref="AO74">('1100'!G74) / 100</f>
        <v>0.54789999999999994</v>
      </c>
      <c r="AP74" s="24">
        <f t="array" ref="AP74">('1100'!H74) / 100</f>
        <v>0.46679999999999999</v>
      </c>
      <c r="AQ74" s="24">
        <f t="array" ref="AQ74">('1100'!I74) / 100</f>
        <v>0.5544</v>
      </c>
      <c r="AR74" s="24">
        <f t="array" ref="AR74">('1100'!J74) / 100</f>
        <v>0.42590000000000006</v>
      </c>
      <c r="AS74" s="24">
        <f t="array" ref="AS74">('1100'!K74) / 100</f>
        <v>0.22329999999999997</v>
      </c>
      <c r="AT74" s="25">
        <f t="array" ref="AT74">('1100'!A74) / 100</f>
        <v>3.5000000000000003E-2</v>
      </c>
      <c r="AU74" s="25">
        <f t="array" ref="AU74">('1100'!B74) / 100</f>
        <v>2.8999999999999998E-2</v>
      </c>
      <c r="AV74" s="25">
        <f t="array" ref="AV74">('1100'!C74) / 100</f>
        <v>2.6000000000000002E-2</v>
      </c>
      <c r="AW74" s="25">
        <f t="array" ref="AW74">('1100'!D74) / 100</f>
        <v>2.5000000000000001E-2</v>
      </c>
      <c r="AX74" s="25">
        <f t="array" ref="AX74">('1100'!E74) / 100</f>
        <v>2.6000000000000002E-2</v>
      </c>
      <c r="AY74" s="23">
        <v>5818400</v>
      </c>
      <c r="AZ74" s="23">
        <v>4438500</v>
      </c>
      <c r="BA74" s="23">
        <v>4603278</v>
      </c>
      <c r="BB74" s="23">
        <v>3465175</v>
      </c>
      <c r="BC74" s="23">
        <v>2003062</v>
      </c>
      <c r="BD74" s="22">
        <v>414900</v>
      </c>
      <c r="BE74" s="22">
        <v>429000</v>
      </c>
      <c r="BF74" s="22">
        <v>422620</v>
      </c>
      <c r="BG74" s="22">
        <v>408314</v>
      </c>
      <c r="BH74" s="22">
        <v>429193</v>
      </c>
      <c r="BI74" s="23">
        <v>222249700</v>
      </c>
      <c r="BJ74" s="23">
        <v>206907800</v>
      </c>
      <c r="BK74" s="23">
        <v>232544159</v>
      </c>
      <c r="BL74" s="23">
        <v>167993051</v>
      </c>
      <c r="BM74" s="23">
        <v>115603323</v>
      </c>
      <c r="BN74" s="22">
        <v>7702400</v>
      </c>
      <c r="BO74" s="22">
        <v>6050100</v>
      </c>
      <c r="BP74" s="22">
        <v>5990101</v>
      </c>
      <c r="BQ74" s="22">
        <v>4211729</v>
      </c>
      <c r="BR74" s="22">
        <v>3057782</v>
      </c>
    </row>
    <row r="75" spans="1:70" ht="15" x14ac:dyDescent="0.2">
      <c r="A75" s="13" t="s">
        <v>248</v>
      </c>
      <c r="B75" s="14">
        <v>5561846691</v>
      </c>
      <c r="C75" s="14" t="s">
        <v>249</v>
      </c>
      <c r="D75" s="14" t="s">
        <v>67</v>
      </c>
      <c r="E75" s="15" t="s">
        <v>68</v>
      </c>
      <c r="F75" s="16">
        <v>0.1</v>
      </c>
      <c r="G75" s="16">
        <v>0.09</v>
      </c>
      <c r="H75" s="16">
        <v>0.1</v>
      </c>
      <c r="I75" s="16">
        <v>0.1</v>
      </c>
      <c r="J75" s="16">
        <v>0.1</v>
      </c>
      <c r="K75" s="18">
        <v>8.5000000000000006E-2</v>
      </c>
      <c r="L75" s="18">
        <v>8.4000000000000005E-2</v>
      </c>
      <c r="M75" s="18">
        <v>2.1999999999999999E-2</v>
      </c>
      <c r="N75" s="18">
        <v>5.0000000000000001E-3</v>
      </c>
      <c r="O75" s="18">
        <v>1.7999999999999999E-2</v>
      </c>
      <c r="P75" s="19">
        <v>-2.5500000000000201E-3</v>
      </c>
      <c r="Q75" s="19">
        <v>-2.9761999999999898E-4</v>
      </c>
      <c r="R75" s="20">
        <v>0</v>
      </c>
      <c r="S75" s="19">
        <v>7.6779000000000101E-3</v>
      </c>
      <c r="T75" s="19">
        <v>3.46414000000001E-2</v>
      </c>
      <c r="U75" s="34">
        <v>0</v>
      </c>
      <c r="V75" s="34">
        <v>0</v>
      </c>
      <c r="W75" s="34">
        <v>0</v>
      </c>
      <c r="X75" s="34">
        <v>0</v>
      </c>
      <c r="Y75" s="34">
        <v>0</v>
      </c>
      <c r="Z75" s="22">
        <v>1045</v>
      </c>
      <c r="AA75" s="22">
        <v>968</v>
      </c>
      <c r="AB75" s="22">
        <v>886</v>
      </c>
      <c r="AC75" s="22">
        <v>894</v>
      </c>
      <c r="AD75" s="22">
        <v>887</v>
      </c>
      <c r="AE75" s="23">
        <v>874500</v>
      </c>
      <c r="AF75" s="23">
        <v>823700</v>
      </c>
      <c r="AG75" s="23">
        <v>647400</v>
      </c>
      <c r="AH75" s="23">
        <v>482500</v>
      </c>
      <c r="AI75" s="23">
        <v>443900</v>
      </c>
      <c r="AJ75" s="22">
        <v>0.36397941680960549</v>
      </c>
      <c r="AK75" s="22">
        <v>0.65812795920844969</v>
      </c>
      <c r="AL75" s="22">
        <v>0.26073524868705594</v>
      </c>
      <c r="AM75" s="22">
        <v>0.35709844559585491</v>
      </c>
      <c r="AN75" s="22">
        <v>0.52489299391754896</v>
      </c>
      <c r="AO75" s="24">
        <f t="array" ref="AO75">('1100'!G75) / 100</f>
        <v>0.15279999999999999</v>
      </c>
      <c r="AP75" s="24">
        <f t="array" ref="AP75">('1100'!H75) / 100</f>
        <v>0.15640000000000001</v>
      </c>
      <c r="AQ75" s="24">
        <f t="array" ref="AQ75">('1100'!I75) / 100</f>
        <v>0.15340000000000001</v>
      </c>
      <c r="AR75" s="24">
        <f t="array" ref="AR75">('1100'!J75) / 100</f>
        <v>0.1246</v>
      </c>
      <c r="AS75" s="24">
        <f t="array" ref="AS75">('1100'!K75) / 100</f>
        <v>0.1128</v>
      </c>
      <c r="AT75" s="25">
        <f t="array" ref="AT75">('1100'!A75) / 100</f>
        <v>0.67900000000000005</v>
      </c>
      <c r="AU75" s="25">
        <f t="array" ref="AU75">('1100'!B75) / 100</f>
        <v>0.56700000000000006</v>
      </c>
      <c r="AV75" s="25">
        <f t="array" ref="AV75">('1100'!C75) / 100</f>
        <v>0.66900000000000004</v>
      </c>
      <c r="AW75" s="25">
        <f t="array" ref="AW75">('1100'!D75) / 100</f>
        <v>0.68599999999999994</v>
      </c>
      <c r="AX75" s="25">
        <f t="array" ref="AX75">('1100'!E75) / 100</f>
        <v>0.61799999999999999</v>
      </c>
      <c r="AY75" s="23">
        <v>5145300</v>
      </c>
      <c r="AZ75" s="23">
        <v>4733500</v>
      </c>
      <c r="BA75" s="23">
        <v>3777900</v>
      </c>
      <c r="BB75" s="23">
        <v>3298200</v>
      </c>
      <c r="BC75" s="23">
        <v>3297200</v>
      </c>
      <c r="BD75" s="22">
        <v>255000</v>
      </c>
      <c r="BE75" s="22">
        <v>228700</v>
      </c>
      <c r="BF75" s="22">
        <v>147100</v>
      </c>
      <c r="BG75" s="22">
        <v>145800</v>
      </c>
      <c r="BH75" s="22">
        <v>141000</v>
      </c>
      <c r="BI75" s="23">
        <v>2932000</v>
      </c>
      <c r="BJ75" s="23">
        <v>2804000</v>
      </c>
      <c r="BK75" s="23">
        <v>2053900</v>
      </c>
      <c r="BL75" s="23">
        <v>1991700</v>
      </c>
      <c r="BM75" s="23">
        <v>1724700</v>
      </c>
      <c r="BN75" s="22">
        <v>1991200</v>
      </c>
      <c r="BO75" s="22">
        <v>1589600</v>
      </c>
      <c r="BP75" s="22">
        <v>1373900</v>
      </c>
      <c r="BQ75" s="22">
        <v>1365900</v>
      </c>
      <c r="BR75" s="22">
        <v>1066500</v>
      </c>
    </row>
    <row r="76" spans="1:70" ht="15" x14ac:dyDescent="0.2">
      <c r="A76" s="13" t="s">
        <v>250</v>
      </c>
      <c r="B76" s="14">
        <v>5560614330</v>
      </c>
      <c r="C76" s="14" t="s">
        <v>251</v>
      </c>
      <c r="D76" s="14" t="s">
        <v>67</v>
      </c>
      <c r="E76" s="15" t="s">
        <v>68</v>
      </c>
      <c r="F76" s="16">
        <v>8.3000000000000004E-2</v>
      </c>
      <c r="G76" s="16">
        <v>8.5999999999999993E-2</v>
      </c>
      <c r="H76" s="16">
        <v>7.8E-2</v>
      </c>
      <c r="I76" s="16">
        <v>7.3999999999999996E-2</v>
      </c>
      <c r="J76" s="16">
        <v>8.2000000000000003E-2</v>
      </c>
      <c r="K76" s="18">
        <v>8.5000000000000006E-2</v>
      </c>
      <c r="L76" s="18">
        <v>8.4000000000000005E-2</v>
      </c>
      <c r="M76" s="18">
        <v>2.1999999999999999E-2</v>
      </c>
      <c r="N76" s="18">
        <v>5.0000000000000001E-3</v>
      </c>
      <c r="O76" s="18">
        <v>1.7999999999999999E-2</v>
      </c>
      <c r="P76" s="19">
        <v>-2.5500000000000201E-3</v>
      </c>
      <c r="Q76" s="19">
        <v>-2.9761999999999898E-4</v>
      </c>
      <c r="R76" s="20">
        <v>0</v>
      </c>
      <c r="S76" s="19">
        <v>7.6779000000000101E-3</v>
      </c>
      <c r="T76" s="19">
        <v>3.46414000000001E-2</v>
      </c>
      <c r="U76" s="34">
        <f>123*1000</f>
        <v>123000</v>
      </c>
      <c r="V76" s="34">
        <f>1*1000</f>
        <v>1000</v>
      </c>
      <c r="W76" s="34">
        <f t="shared" ref="W76:X76" si="8">20*1000</f>
        <v>20000</v>
      </c>
      <c r="X76" s="34">
        <f t="shared" si="8"/>
        <v>20000</v>
      </c>
      <c r="Y76" s="34">
        <f>15*1000</f>
        <v>15000</v>
      </c>
      <c r="Z76" s="22">
        <v>13808</v>
      </c>
      <c r="AA76" s="22">
        <v>15045</v>
      </c>
      <c r="AB76" s="22">
        <v>14907</v>
      </c>
      <c r="AC76" s="22">
        <v>15166</v>
      </c>
      <c r="AD76" s="22">
        <v>14309</v>
      </c>
      <c r="AE76" s="23">
        <v>4323000</v>
      </c>
      <c r="AF76" s="23">
        <v>4214000</v>
      </c>
      <c r="AG76" s="23">
        <v>4595000</v>
      </c>
      <c r="AH76" s="23">
        <v>5554000</v>
      </c>
      <c r="AI76" s="23">
        <v>3390000</v>
      </c>
      <c r="AJ76" s="22">
        <v>2.5031228313671061</v>
      </c>
      <c r="AK76" s="22">
        <v>2.1115329852871381</v>
      </c>
      <c r="AL76" s="22">
        <v>1.3536452665941241</v>
      </c>
      <c r="AM76" s="22">
        <v>1.2014764133957507</v>
      </c>
      <c r="AN76" s="22">
        <v>1.7218289085545724</v>
      </c>
      <c r="AO76" s="24">
        <f t="array" ref="AO76">('1100'!G76) / 100</f>
        <v>5.1500000000000004E-2</v>
      </c>
      <c r="AP76" s="24">
        <f t="array" ref="AP76">('1100'!H76) / 100</f>
        <v>4.2900000000000001E-2</v>
      </c>
      <c r="AQ76" s="24">
        <f t="array" ref="AQ76">('1100'!I76) / 100</f>
        <v>5.21E-2</v>
      </c>
      <c r="AR76" s="24">
        <f t="array" ref="AR76">('1100'!J76) / 100</f>
        <v>6.7099999999999993E-2</v>
      </c>
      <c r="AS76" s="24">
        <f t="array" ref="AS76">('1100'!K76) / 100</f>
        <v>0.05</v>
      </c>
      <c r="AT76" s="25">
        <f t="array" ref="AT76">('1100'!A76) / 100</f>
        <v>0.29399999999999998</v>
      </c>
      <c r="AU76" s="25">
        <f t="array" ref="AU76">('1100'!B76) / 100</f>
        <v>0.27</v>
      </c>
      <c r="AV76" s="25">
        <f t="array" ref="AV76">('1100'!C76) / 100</f>
        <v>0.28999999999999998</v>
      </c>
      <c r="AW76" s="25">
        <f t="array" ref="AW76">('1100'!D76) / 100</f>
        <v>0.29499999999999998</v>
      </c>
      <c r="AX76" s="25">
        <f t="array" ref="AX76">('1100'!E76) / 100</f>
        <v>0.317</v>
      </c>
      <c r="AY76" s="23">
        <v>61957000</v>
      </c>
      <c r="AZ76" s="23">
        <v>62212000</v>
      </c>
      <c r="BA76" s="23">
        <v>59314000</v>
      </c>
      <c r="BB76" s="23">
        <v>61033000</v>
      </c>
      <c r="BC76" s="23">
        <v>54288000</v>
      </c>
      <c r="BD76" s="22">
        <v>3162000</v>
      </c>
      <c r="BE76" s="22">
        <v>3309000</v>
      </c>
      <c r="BF76" s="22">
        <v>3112000</v>
      </c>
      <c r="BG76" s="22">
        <v>3068000</v>
      </c>
      <c r="BH76" s="22">
        <v>1836000</v>
      </c>
      <c r="BI76" s="23">
        <v>49176000</v>
      </c>
      <c r="BJ76" s="23">
        <v>51011000</v>
      </c>
      <c r="BK76" s="23">
        <v>47170000</v>
      </c>
      <c r="BL76" s="23">
        <v>42164000</v>
      </c>
      <c r="BM76" s="23">
        <v>38729000</v>
      </c>
      <c r="BN76" s="22">
        <v>14453000</v>
      </c>
      <c r="BO76" s="22">
        <v>13768000</v>
      </c>
      <c r="BP76" s="22">
        <v>13681000</v>
      </c>
      <c r="BQ76" s="22">
        <v>12442000</v>
      </c>
      <c r="BR76" s="22">
        <v>12264000</v>
      </c>
    </row>
    <row r="77" spans="1:70" ht="15" x14ac:dyDescent="0.2">
      <c r="A77" s="13" t="s">
        <v>252</v>
      </c>
      <c r="B77" s="14">
        <v>5564943446</v>
      </c>
      <c r="C77" s="14" t="s">
        <v>253</v>
      </c>
      <c r="D77" s="14" t="s">
        <v>67</v>
      </c>
      <c r="E77" s="15" t="s">
        <v>68</v>
      </c>
      <c r="F77" s="16">
        <f t="shared" ref="F77:G77" si="9">0.108</f>
        <v>0.108</v>
      </c>
      <c r="G77" s="16">
        <f t="shared" si="9"/>
        <v>0.108</v>
      </c>
      <c r="H77" s="16">
        <f t="shared" ref="H77:I77" si="10">0.102</f>
        <v>0.10199999999999999</v>
      </c>
      <c r="I77" s="16">
        <f t="shared" si="10"/>
        <v>0.10199999999999999</v>
      </c>
      <c r="J77" s="16">
        <f>0.097</f>
        <v>9.7000000000000003E-2</v>
      </c>
      <c r="K77" s="18">
        <v>8.5000000000000006E-2</v>
      </c>
      <c r="L77" s="18">
        <v>8.4000000000000005E-2</v>
      </c>
      <c r="M77" s="18">
        <v>2.1999999999999999E-2</v>
      </c>
      <c r="N77" s="18">
        <v>5.0000000000000001E-3</v>
      </c>
      <c r="O77" s="18">
        <v>1.7999999999999999E-2</v>
      </c>
      <c r="P77" s="19">
        <v>-2.5500000000000201E-3</v>
      </c>
      <c r="Q77" s="19">
        <v>-2.9761999999999898E-4</v>
      </c>
      <c r="R77" s="20">
        <v>0</v>
      </c>
      <c r="S77" s="19">
        <v>7.6779000000000101E-3</v>
      </c>
      <c r="T77" s="19">
        <v>3.46414000000001E-2</v>
      </c>
      <c r="U77" s="34">
        <v>0</v>
      </c>
      <c r="V77" s="34">
        <v>0</v>
      </c>
      <c r="W77" s="34">
        <v>0</v>
      </c>
      <c r="X77" s="34">
        <v>0</v>
      </c>
      <c r="Y77" s="34">
        <v>0</v>
      </c>
      <c r="Z77" s="22">
        <v>1154</v>
      </c>
      <c r="AA77" s="22">
        <v>1165</v>
      </c>
      <c r="AB77" s="22">
        <v>1027</v>
      </c>
      <c r="AC77" s="22">
        <v>973</v>
      </c>
      <c r="AD77" s="22">
        <v>834</v>
      </c>
      <c r="AE77" s="23">
        <v>320997</v>
      </c>
      <c r="AF77" s="23">
        <v>344863</v>
      </c>
      <c r="AG77" s="23">
        <v>232328</v>
      </c>
      <c r="AH77" s="23">
        <v>369644</v>
      </c>
      <c r="AI77" s="23">
        <v>166442</v>
      </c>
      <c r="AJ77" s="22">
        <v>3.7430131745779556</v>
      </c>
      <c r="AK77" s="22">
        <v>4.1795089644293535</v>
      </c>
      <c r="AL77" s="22">
        <v>5.1061172135945734</v>
      </c>
      <c r="AM77" s="22">
        <v>2.3082073562671113</v>
      </c>
      <c r="AN77" s="22">
        <v>5.1717475156510977</v>
      </c>
      <c r="AO77" s="24">
        <f t="array" ref="AO77">('1100'!G77) / 100</f>
        <v>5.33E-2</v>
      </c>
      <c r="AP77" s="24">
        <f t="array" ref="AP77">('1100'!H77) / 100</f>
        <v>5.6900000000000006E-2</v>
      </c>
      <c r="AQ77" s="24">
        <f t="array" ref="AQ77">('1100'!I77) / 100</f>
        <v>4.87E-2</v>
      </c>
      <c r="AR77" s="24">
        <f t="array" ref="AR77">('1100'!J77) / 100</f>
        <v>5.1900000000000002E-2</v>
      </c>
      <c r="AS77" s="24">
        <f t="array" ref="AS77">('1100'!K77) / 100</f>
        <v>3.5299999999999998E-2</v>
      </c>
      <c r="AT77" s="25">
        <f t="array" ref="AT77">('1100'!A77) / 100</f>
        <v>0.249</v>
      </c>
      <c r="AU77" s="25">
        <f t="array" ref="AU77">('1100'!B77) / 100</f>
        <v>0.217</v>
      </c>
      <c r="AV77" s="25">
        <f t="array" ref="AV77">('1100'!C77) / 100</f>
        <v>0.20899999999999999</v>
      </c>
      <c r="AW77" s="25">
        <f t="array" ref="AW77">('1100'!D77) / 100</f>
        <v>0.20600000000000002</v>
      </c>
      <c r="AX77" s="25">
        <f t="array" ref="AX77">('1100'!E77) / 100</f>
        <v>0.182</v>
      </c>
      <c r="AY77" s="23">
        <v>4847315</v>
      </c>
      <c r="AZ77" s="23">
        <v>4756823</v>
      </c>
      <c r="BA77" s="23">
        <v>3524953</v>
      </c>
      <c r="BB77" s="23">
        <v>3633134</v>
      </c>
      <c r="BC77" s="23">
        <v>3407864</v>
      </c>
      <c r="BD77" s="22">
        <v>983571</v>
      </c>
      <c r="BE77" s="22">
        <v>983637</v>
      </c>
      <c r="BF77" s="22">
        <v>820708</v>
      </c>
      <c r="BG77" s="22">
        <v>551670</v>
      </c>
      <c r="BH77" s="22">
        <v>516421</v>
      </c>
      <c r="BI77" s="23">
        <v>4044448</v>
      </c>
      <c r="BJ77" s="23">
        <v>4241872</v>
      </c>
      <c r="BK77" s="23">
        <v>3394972</v>
      </c>
      <c r="BL77" s="23">
        <v>2923936</v>
      </c>
      <c r="BM77" s="23">
        <v>2876710</v>
      </c>
      <c r="BN77" s="22">
        <v>1008604</v>
      </c>
      <c r="BO77" s="22">
        <v>919533</v>
      </c>
      <c r="BP77" s="22">
        <v>710611</v>
      </c>
      <c r="BQ77" s="22">
        <v>601949</v>
      </c>
      <c r="BR77" s="22">
        <v>524211</v>
      </c>
    </row>
    <row r="78" spans="1:70" ht="15" x14ac:dyDescent="0.2">
      <c r="A78" s="13" t="s">
        <v>254</v>
      </c>
      <c r="B78" s="14">
        <v>5560360793</v>
      </c>
      <c r="C78" s="14" t="s">
        <v>255</v>
      </c>
      <c r="D78" s="14" t="s">
        <v>67</v>
      </c>
      <c r="E78" s="15" t="s">
        <v>79</v>
      </c>
      <c r="F78" s="16">
        <v>0.1</v>
      </c>
      <c r="G78" s="16">
        <v>0.1</v>
      </c>
      <c r="H78" s="16">
        <v>0.1</v>
      </c>
      <c r="I78" s="16">
        <v>0.1</v>
      </c>
      <c r="J78" s="16">
        <v>0.1</v>
      </c>
      <c r="K78" s="18">
        <v>8.5000000000000006E-2</v>
      </c>
      <c r="L78" s="18">
        <v>8.4000000000000005E-2</v>
      </c>
      <c r="M78" s="18">
        <v>2.1999999999999999E-2</v>
      </c>
      <c r="N78" s="18">
        <v>5.0000000000000001E-3</v>
      </c>
      <c r="O78" s="18">
        <v>1.7999999999999999E-2</v>
      </c>
      <c r="P78" s="19">
        <v>-2.5500000000000201E-3</v>
      </c>
      <c r="Q78" s="19">
        <v>-2.9761999999999898E-4</v>
      </c>
      <c r="R78" s="20">
        <v>0</v>
      </c>
      <c r="S78" s="19">
        <v>7.6779000000000101E-3</v>
      </c>
      <c r="T78" s="19">
        <v>3.46414000000001E-2</v>
      </c>
      <c r="U78" s="34">
        <v>0</v>
      </c>
      <c r="V78" s="34">
        <v>0</v>
      </c>
      <c r="W78" s="34">
        <v>0</v>
      </c>
      <c r="X78" s="34">
        <v>0</v>
      </c>
      <c r="Y78" s="34">
        <v>0</v>
      </c>
      <c r="Z78" s="22">
        <v>20479</v>
      </c>
      <c r="AA78" s="22">
        <v>18555</v>
      </c>
      <c r="AB78" s="22">
        <v>18045</v>
      </c>
      <c r="AC78" s="22">
        <v>17822</v>
      </c>
      <c r="AD78" s="22">
        <v>17174</v>
      </c>
      <c r="AE78" s="23">
        <v>6537000</v>
      </c>
      <c r="AF78" s="23">
        <v>4106000</v>
      </c>
      <c r="AG78" s="23">
        <v>2888701</v>
      </c>
      <c r="AH78" s="23">
        <v>2833000</v>
      </c>
      <c r="AI78" s="23">
        <v>3198000</v>
      </c>
      <c r="AJ78" s="22">
        <v>1.6268930702156952</v>
      </c>
      <c r="AK78" s="22">
        <v>2.4887968826108136</v>
      </c>
      <c r="AL78" s="22">
        <v>5.7042940754339062</v>
      </c>
      <c r="AM78" s="22">
        <v>3.3911048358630427</v>
      </c>
      <c r="AN78" s="22">
        <v>5.4740462789243276</v>
      </c>
      <c r="AO78" s="24">
        <f t="array" ref="AO78">('1100'!G78) / 100</f>
        <v>9.7899999999999987E-2</v>
      </c>
      <c r="AP78" s="24">
        <f t="array" ref="AP78">('1100'!H78) / 100</f>
        <v>8.2599999999999993E-2</v>
      </c>
      <c r="AQ78" s="24">
        <f t="array" ref="AQ78">('1100'!I78) / 100</f>
        <v>7.690000000000001E-2</v>
      </c>
      <c r="AR78" s="24">
        <f t="array" ref="AR78">('1100'!J78) / 100</f>
        <v>4.36E-2</v>
      </c>
      <c r="AS78" s="24">
        <f t="array" ref="AS78">('1100'!K78) / 100</f>
        <v>8.8300000000000003E-2</v>
      </c>
      <c r="AT78" s="25">
        <f t="array" ref="AT78">('1100'!A78) / 100</f>
        <v>0.38700000000000001</v>
      </c>
      <c r="AU78" s="25">
        <f t="array" ref="AU78">('1100'!B78) / 100</f>
        <v>0.40700000000000003</v>
      </c>
      <c r="AV78" s="25">
        <f t="array" ref="AV78">('1100'!C78) / 100</f>
        <v>0.35299999999999998</v>
      </c>
      <c r="AW78" s="25">
        <f t="array" ref="AW78">('1100'!D78) / 100</f>
        <v>0.35399999999999998</v>
      </c>
      <c r="AX78" s="25">
        <f t="array" ref="AX78">('1100'!E78) / 100</f>
        <v>0.34299999999999997</v>
      </c>
      <c r="AY78" s="23">
        <v>52200000</v>
      </c>
      <c r="AZ78" s="23">
        <v>42237000</v>
      </c>
      <c r="BA78" s="23">
        <v>39300000</v>
      </c>
      <c r="BB78" s="23">
        <v>36722000</v>
      </c>
      <c r="BC78" s="23">
        <v>35650000</v>
      </c>
      <c r="BD78" s="22">
        <v>5424000</v>
      </c>
      <c r="BE78" s="22">
        <v>5384000</v>
      </c>
      <c r="BF78" s="22">
        <v>5253000</v>
      </c>
      <c r="BG78" s="22">
        <v>5141000</v>
      </c>
      <c r="BH78" s="22">
        <v>5355000</v>
      </c>
      <c r="BI78" s="23">
        <v>82759000</v>
      </c>
      <c r="BJ78" s="23">
        <v>72365000</v>
      </c>
      <c r="BK78" s="23">
        <v>65039000</v>
      </c>
      <c r="BL78" s="23">
        <v>60568000</v>
      </c>
      <c r="BM78" s="23">
        <v>59858000</v>
      </c>
      <c r="BN78" s="22">
        <v>32035000</v>
      </c>
      <c r="BO78" s="22">
        <v>29486000</v>
      </c>
      <c r="BP78" s="22">
        <v>22976000</v>
      </c>
      <c r="BQ78" s="22">
        <v>21466000</v>
      </c>
      <c r="BR78" s="22">
        <v>20535000</v>
      </c>
    </row>
    <row r="79" spans="1:70" ht="15" x14ac:dyDescent="0.2">
      <c r="A79" s="13" t="s">
        <v>256</v>
      </c>
      <c r="B79" s="14">
        <v>5560003468</v>
      </c>
      <c r="C79" s="14" t="s">
        <v>257</v>
      </c>
      <c r="D79" s="14" t="s">
        <v>67</v>
      </c>
      <c r="E79" s="15" t="s">
        <v>79</v>
      </c>
      <c r="F79" s="16">
        <v>9.7000000000000003E-2</v>
      </c>
      <c r="G79" s="16">
        <v>9.4E-2</v>
      </c>
      <c r="H79" s="16">
        <v>9.6000000000000002E-2</v>
      </c>
      <c r="I79" s="16">
        <v>9.4E-2</v>
      </c>
      <c r="J79" s="16">
        <v>0.1</v>
      </c>
      <c r="K79" s="18">
        <v>8.5000000000000006E-2</v>
      </c>
      <c r="L79" s="18">
        <v>8.4000000000000005E-2</v>
      </c>
      <c r="M79" s="18">
        <v>2.1999999999999999E-2</v>
      </c>
      <c r="N79" s="18">
        <v>5.0000000000000001E-3</v>
      </c>
      <c r="O79" s="18">
        <v>1.7999999999999999E-2</v>
      </c>
      <c r="P79" s="19">
        <v>-2.5500000000000201E-3</v>
      </c>
      <c r="Q79" s="19">
        <v>-2.9761999999999898E-4</v>
      </c>
      <c r="R79" s="20">
        <v>0</v>
      </c>
      <c r="S79" s="19">
        <v>7.6779000000000101E-3</v>
      </c>
      <c r="T79" s="19">
        <v>3.46414000000001E-2</v>
      </c>
      <c r="U79" s="34">
        <v>0</v>
      </c>
      <c r="V79" s="34">
        <f>88*1000</f>
        <v>88000</v>
      </c>
      <c r="W79" s="34">
        <v>0</v>
      </c>
      <c r="X79" s="34">
        <f>304*1000</f>
        <v>304000</v>
      </c>
      <c r="Y79" s="34">
        <f>2776*1000</f>
        <v>2776000</v>
      </c>
      <c r="Z79" s="22">
        <v>40686</v>
      </c>
      <c r="AA79" s="22">
        <v>42318</v>
      </c>
      <c r="AB79" s="22">
        <v>4636</v>
      </c>
      <c r="AC79" s="22">
        <v>38666</v>
      </c>
      <c r="AD79" s="22">
        <v>41120</v>
      </c>
      <c r="AE79" s="23">
        <v>29567000</v>
      </c>
      <c r="AF79" s="23">
        <v>17361000</v>
      </c>
      <c r="AG79" s="23">
        <v>21030000</v>
      </c>
      <c r="AH79" s="23">
        <v>13297000</v>
      </c>
      <c r="AI79" s="23">
        <v>14898000</v>
      </c>
      <c r="AJ79" s="22">
        <v>1.3950688267325058</v>
      </c>
      <c r="AK79" s="22">
        <v>1.590115776740971</v>
      </c>
      <c r="AL79" s="22">
        <v>1.6409890632429862</v>
      </c>
      <c r="AM79" s="22">
        <v>1.0385801308565843</v>
      </c>
      <c r="AN79" s="22">
        <v>0.19734192509061618</v>
      </c>
      <c r="AO79" s="24">
        <f t="array" ref="AO79">('1100'!G79) / 100</f>
        <v>0.18359999999999999</v>
      </c>
      <c r="AP79" s="24">
        <f t="array" ref="AP79">('1100'!H79) / 100</f>
        <v>0.2084</v>
      </c>
      <c r="AQ79" s="24">
        <f t="array" ref="AQ79">('1100'!I79) / 100</f>
        <v>0.1971</v>
      </c>
      <c r="AR79" s="24">
        <f t="array" ref="AR79">('1100'!J79) / 100</f>
        <v>0.14330000000000001</v>
      </c>
      <c r="AS79" s="24">
        <f t="array" ref="AS79">('1100'!K79) / 100</f>
        <v>0.13439999999999999</v>
      </c>
      <c r="AT79" s="25">
        <f t="array" ref="AT79">('1100'!A79) / 100</f>
        <v>0.503</v>
      </c>
      <c r="AU79" s="25">
        <f t="array" ref="AU79">('1100'!B79) / 100</f>
        <v>0.496</v>
      </c>
      <c r="AV79" s="25">
        <f t="array" ref="AV79">('1100'!C79) / 100</f>
        <v>0.496</v>
      </c>
      <c r="AW79" s="25">
        <f t="array" ref="AW79">('1100'!D79) / 100</f>
        <v>0.54600000000000004</v>
      </c>
      <c r="AX79" s="25">
        <f t="array" ref="AX79">('1100'!E79) / 100</f>
        <v>0.51400000000000001</v>
      </c>
      <c r="AY79" s="23">
        <v>127200000</v>
      </c>
      <c r="AZ79" s="23">
        <v>86631000</v>
      </c>
      <c r="BA79" s="23">
        <v>100209000</v>
      </c>
      <c r="BB79" s="23">
        <v>86883000</v>
      </c>
      <c r="BC79" s="23">
        <v>104431000</v>
      </c>
      <c r="BD79" s="22">
        <v>46656000</v>
      </c>
      <c r="BE79" s="22">
        <v>34278000</v>
      </c>
      <c r="BF79" s="22">
        <v>34278000</v>
      </c>
      <c r="BG79" s="22">
        <v>14913000</v>
      </c>
      <c r="BH79" s="22">
        <v>14380000</v>
      </c>
      <c r="BI79" s="23">
        <v>174210000</v>
      </c>
      <c r="BJ79" s="23">
        <v>155517000</v>
      </c>
      <c r="BK79" s="23">
        <v>155517000</v>
      </c>
      <c r="BL79" s="23">
        <v>119128000</v>
      </c>
      <c r="BM79" s="23">
        <v>120423000</v>
      </c>
      <c r="BN79" s="22">
        <v>87631000</v>
      </c>
      <c r="BO79" s="22">
        <v>77200000</v>
      </c>
      <c r="BP79" s="22">
        <v>77200000</v>
      </c>
      <c r="BQ79" s="22">
        <v>65081000</v>
      </c>
      <c r="BR79" s="22">
        <v>61844000</v>
      </c>
    </row>
    <row r="80" spans="1:70" ht="15" x14ac:dyDescent="0.2">
      <c r="A80" s="26" t="s">
        <v>258</v>
      </c>
      <c r="B80" s="14">
        <v>5569210627</v>
      </c>
      <c r="C80" s="14" t="s">
        <v>259</v>
      </c>
      <c r="D80" s="14" t="s">
        <v>67</v>
      </c>
      <c r="E80" s="15" t="s">
        <v>90</v>
      </c>
      <c r="F80" s="16">
        <f>0.111</f>
        <v>0.111</v>
      </c>
      <c r="G80" s="16">
        <f>0.1</f>
        <v>0.1</v>
      </c>
      <c r="H80" s="16">
        <f>0.086</f>
        <v>8.5999999999999993E-2</v>
      </c>
      <c r="I80" s="16">
        <f>0.061</f>
        <v>6.0999999999999999E-2</v>
      </c>
      <c r="J80" s="16">
        <f>0.091</f>
        <v>9.0999999999999998E-2</v>
      </c>
      <c r="K80" s="18">
        <v>8.5000000000000006E-2</v>
      </c>
      <c r="L80" s="18">
        <v>8.4000000000000005E-2</v>
      </c>
      <c r="M80" s="18">
        <v>2.1999999999999999E-2</v>
      </c>
      <c r="N80" s="18">
        <v>5.0000000000000001E-3</v>
      </c>
      <c r="O80" s="18">
        <v>1.7999999999999999E-2</v>
      </c>
      <c r="P80" s="19">
        <v>-2.5500000000000201E-3</v>
      </c>
      <c r="Q80" s="19">
        <v>-2.9761999999999898E-4</v>
      </c>
      <c r="R80" s="20">
        <v>0</v>
      </c>
      <c r="S80" s="19">
        <v>7.6779000000000101E-3</v>
      </c>
      <c r="T80" s="19">
        <v>3.46414000000001E-2</v>
      </c>
      <c r="U80" s="34">
        <v>0</v>
      </c>
      <c r="V80" s="34">
        <v>0</v>
      </c>
      <c r="W80" s="34">
        <v>0</v>
      </c>
      <c r="X80" s="34">
        <v>0</v>
      </c>
      <c r="Y80" s="34">
        <v>0</v>
      </c>
      <c r="Z80" s="22">
        <v>3204</v>
      </c>
      <c r="AA80" s="22">
        <v>3294</v>
      </c>
      <c r="AB80" s="22">
        <v>3215</v>
      </c>
      <c r="AC80" s="22">
        <v>3220</v>
      </c>
      <c r="AD80" s="22">
        <v>3266</v>
      </c>
      <c r="AE80" s="23">
        <v>881000</v>
      </c>
      <c r="AF80" s="23">
        <v>724000</v>
      </c>
      <c r="AG80" s="23">
        <v>600000</v>
      </c>
      <c r="AH80" s="23">
        <v>701000</v>
      </c>
      <c r="AI80" s="23">
        <v>749000</v>
      </c>
      <c r="AJ80" s="22">
        <v>1.9954597048808171</v>
      </c>
      <c r="AK80" s="22">
        <v>3.0538674033149169</v>
      </c>
      <c r="AL80" s="22">
        <v>4.165</v>
      </c>
      <c r="AM80" s="22">
        <v>3.6005706134094151</v>
      </c>
      <c r="AN80" s="22">
        <v>3.5086782376502001</v>
      </c>
      <c r="AO80" s="24">
        <f t="array" ref="AO80">('1100'!G80) / 100</f>
        <v>3.73E-2</v>
      </c>
      <c r="AP80" s="24">
        <f t="array" ref="AP80">('1100'!H80) / 100</f>
        <v>2.4199999999999999E-2</v>
      </c>
      <c r="AQ80" s="24">
        <f t="array" ref="AQ80">('1100'!I80) / 100</f>
        <v>2.2200000000000001E-2</v>
      </c>
      <c r="AR80" s="24">
        <f t="array" ref="AR80">('1100'!J80) / 100</f>
        <v>3.5299999999999998E-2</v>
      </c>
      <c r="AS80" s="24">
        <f t="array" ref="AS80">('1100'!K80) / 100</f>
        <v>4.2999999999999997E-2</v>
      </c>
      <c r="AT80" s="25">
        <f t="array" ref="AT80">('1100'!A80) / 100</f>
        <v>0.36</v>
      </c>
      <c r="AU80" s="25">
        <f t="array" ref="AU80">('1100'!B80) / 100</f>
        <v>0.33500000000000002</v>
      </c>
      <c r="AV80" s="25">
        <f t="array" ref="AV80">('1100'!C80) / 100</f>
        <v>0.30099999999999999</v>
      </c>
      <c r="AW80" s="25">
        <f t="array" ref="AW80">('1100'!D80) / 100</f>
        <v>0.29399999999999998</v>
      </c>
      <c r="AX80" s="25">
        <f t="array" ref="AX80">('1100'!E80) / 100</f>
        <v>0.27699999999999997</v>
      </c>
      <c r="AY80" s="23">
        <v>12954000</v>
      </c>
      <c r="AZ80" s="23">
        <v>12258000</v>
      </c>
      <c r="BA80" s="23">
        <v>10173000</v>
      </c>
      <c r="BB80" s="23">
        <v>9993000</v>
      </c>
      <c r="BC80" s="23">
        <v>9985000</v>
      </c>
      <c r="BD80" s="22">
        <v>950000</v>
      </c>
      <c r="BE80" s="22">
        <v>971000</v>
      </c>
      <c r="BF80" s="22">
        <v>921000</v>
      </c>
      <c r="BG80" s="22">
        <v>888000</v>
      </c>
      <c r="BH80" s="22">
        <v>940000</v>
      </c>
      <c r="BI80" s="23">
        <v>6652000</v>
      </c>
      <c r="BJ80" s="23">
        <v>6965000</v>
      </c>
      <c r="BK80" s="23">
        <v>6494000</v>
      </c>
      <c r="BL80" s="23">
        <v>6385000</v>
      </c>
      <c r="BM80" s="23">
        <v>6272000</v>
      </c>
      <c r="BN80" s="22">
        <v>2397000</v>
      </c>
      <c r="BO80" s="22">
        <v>2331000</v>
      </c>
      <c r="BP80" s="22">
        <v>1952000</v>
      </c>
      <c r="BQ80" s="22">
        <v>1875000</v>
      </c>
      <c r="BR80" s="22">
        <v>1739000</v>
      </c>
    </row>
    <row r="81" spans="1:70" ht="15" x14ac:dyDescent="0.2">
      <c r="A81" s="35" t="s">
        <v>260</v>
      </c>
      <c r="B81" s="31">
        <v>5560648304</v>
      </c>
      <c r="C81" s="31" t="s">
        <v>261</v>
      </c>
      <c r="D81" s="14" t="s">
        <v>67</v>
      </c>
      <c r="E81" s="15" t="s">
        <v>68</v>
      </c>
      <c r="F81" s="32">
        <f>0.106</f>
        <v>0.106</v>
      </c>
      <c r="G81" s="32">
        <f>0.109</f>
        <v>0.109</v>
      </c>
      <c r="H81" s="32">
        <f>0.104</f>
        <v>0.104</v>
      </c>
      <c r="I81" s="32">
        <f>0.101</f>
        <v>0.10100000000000001</v>
      </c>
      <c r="J81" s="32">
        <f>0.106</f>
        <v>0.106</v>
      </c>
      <c r="K81" s="18">
        <v>8.5000000000000006E-2</v>
      </c>
      <c r="L81" s="18">
        <v>8.4000000000000005E-2</v>
      </c>
      <c r="M81" s="18">
        <v>2.1999999999999999E-2</v>
      </c>
      <c r="N81" s="18">
        <v>5.0000000000000001E-3</v>
      </c>
      <c r="O81" s="18">
        <v>1.7999999999999999E-2</v>
      </c>
      <c r="P81" s="19">
        <v>-2.5500000000000201E-3</v>
      </c>
      <c r="Q81" s="19">
        <v>-2.9761999999999898E-4</v>
      </c>
      <c r="R81" s="20">
        <v>0</v>
      </c>
      <c r="S81" s="19">
        <v>7.6779000000000101E-3</v>
      </c>
      <c r="T81" s="19">
        <v>3.46414000000001E-2</v>
      </c>
      <c r="U81" s="33">
        <v>0</v>
      </c>
      <c r="V81" s="33">
        <v>0</v>
      </c>
      <c r="W81" s="33">
        <v>0</v>
      </c>
      <c r="X81" s="33">
        <f>7.443*1000</f>
        <v>7443</v>
      </c>
      <c r="Y81" s="33">
        <v>0</v>
      </c>
      <c r="Z81" s="22">
        <v>1140</v>
      </c>
      <c r="AA81" s="22">
        <v>1015</v>
      </c>
      <c r="AB81" s="22">
        <v>908</v>
      </c>
      <c r="AC81" s="22">
        <v>828</v>
      </c>
      <c r="AD81" s="22">
        <v>780</v>
      </c>
      <c r="AE81" s="23" t="s">
        <v>262</v>
      </c>
      <c r="AF81" s="23" t="s">
        <v>263</v>
      </c>
      <c r="AG81" s="23" t="s">
        <v>264</v>
      </c>
      <c r="AH81" s="23" t="s">
        <v>265</v>
      </c>
      <c r="AI81" s="23" t="s">
        <v>266</v>
      </c>
      <c r="AJ81" s="22">
        <v>4.2000000000000003E-2</v>
      </c>
      <c r="AK81" s="22">
        <v>0.13800000000000001</v>
      </c>
      <c r="AL81" s="22">
        <v>0.1</v>
      </c>
      <c r="AM81" s="22">
        <v>0.124</v>
      </c>
      <c r="AN81" s="22">
        <v>0.187</v>
      </c>
      <c r="AO81" s="24">
        <f t="array" ref="AO81">('1100'!G81) / 100</f>
        <v>0.18760000000000002</v>
      </c>
      <c r="AP81" s="24">
        <f t="array" ref="AP81">('1100'!H81) / 100</f>
        <v>0.20480000000000001</v>
      </c>
      <c r="AQ81" s="24">
        <f t="array" ref="AQ81">('1100'!I81) / 100</f>
        <v>0.20319999999999999</v>
      </c>
      <c r="AR81" s="24">
        <f t="array" ref="AR81">('1100'!J81) / 100</f>
        <v>0.21879999999999999</v>
      </c>
      <c r="AS81" s="24">
        <f t="array" ref="AS81">('1100'!K81) / 100</f>
        <v>0.18410000000000001</v>
      </c>
      <c r="AT81" s="25">
        <f t="array" ref="AT81">('1100'!A81) / 100</f>
        <v>0.48899999999999999</v>
      </c>
      <c r="AU81" s="25">
        <f t="array" ref="AU81">('1100'!B81) / 100</f>
        <v>0.47399999999999998</v>
      </c>
      <c r="AV81" s="25">
        <f t="array" ref="AV81">('1100'!C81) / 100</f>
        <v>0.49299999999999999</v>
      </c>
      <c r="AW81" s="25">
        <f t="array" ref="AW81">('1100'!D81) / 100</f>
        <v>0.54200000000000004</v>
      </c>
      <c r="AX81" s="25">
        <f t="array" ref="AX81">('1100'!E81) / 100</f>
        <v>0.54100000000000004</v>
      </c>
      <c r="AY81" s="23">
        <v>3040569</v>
      </c>
      <c r="AZ81" s="23">
        <v>2407993</v>
      </c>
      <c r="BA81" s="23">
        <v>1994708</v>
      </c>
      <c r="BB81" s="23">
        <v>1683841</v>
      </c>
      <c r="BC81" s="23">
        <v>1715482</v>
      </c>
      <c r="BD81" s="22">
        <v>49817</v>
      </c>
      <c r="BE81" s="22">
        <v>51664</v>
      </c>
      <c r="BF81" s="22">
        <v>49915</v>
      </c>
      <c r="BG81" s="22">
        <v>46280</v>
      </c>
      <c r="BH81" s="22">
        <v>49197</v>
      </c>
      <c r="BI81" s="23">
        <v>3210938</v>
      </c>
      <c r="BJ81" s="23">
        <v>2736667</v>
      </c>
      <c r="BK81" s="23">
        <v>2191911</v>
      </c>
      <c r="BL81" s="23">
        <v>1651952</v>
      </c>
      <c r="BM81" s="23">
        <v>1511847</v>
      </c>
      <c r="BN81" s="22">
        <v>1569591</v>
      </c>
      <c r="BO81" s="22">
        <v>1296669</v>
      </c>
      <c r="BP81" s="22">
        <v>1080737</v>
      </c>
      <c r="BQ81" s="22">
        <v>895623</v>
      </c>
      <c r="BR81" s="22">
        <v>817213</v>
      </c>
    </row>
    <row r="82" spans="1:70" ht="15" x14ac:dyDescent="0.2">
      <c r="A82" s="13" t="s">
        <v>267</v>
      </c>
      <c r="B82" s="14">
        <v>5563027241</v>
      </c>
      <c r="C82" s="14" t="s">
        <v>268</v>
      </c>
      <c r="D82" s="14" t="s">
        <v>67</v>
      </c>
      <c r="E82" s="15" t="s">
        <v>68</v>
      </c>
      <c r="F82" s="16">
        <v>7.6999999999999999E-2</v>
      </c>
      <c r="G82" s="16">
        <v>7.3999999999999996E-2</v>
      </c>
      <c r="H82" s="16">
        <v>6.3E-2</v>
      </c>
      <c r="I82" s="16">
        <v>6.4000000000000001E-2</v>
      </c>
      <c r="J82" s="16">
        <v>6.5000000000000002E-2</v>
      </c>
      <c r="K82" s="18">
        <v>8.5000000000000006E-2</v>
      </c>
      <c r="L82" s="18">
        <v>8.4000000000000005E-2</v>
      </c>
      <c r="M82" s="18">
        <v>2.1999999999999999E-2</v>
      </c>
      <c r="N82" s="18">
        <v>5.0000000000000001E-3</v>
      </c>
      <c r="O82" s="18">
        <v>1.7999999999999999E-2</v>
      </c>
      <c r="P82" s="19">
        <v>-2.5500000000000201E-3</v>
      </c>
      <c r="Q82" s="19">
        <v>-2.9761999999999898E-4</v>
      </c>
      <c r="R82" s="20">
        <v>0</v>
      </c>
      <c r="S82" s="19">
        <v>7.6779000000000101E-3</v>
      </c>
      <c r="T82" s="19">
        <v>3.46414000000001E-2</v>
      </c>
      <c r="U82" s="34">
        <v>0</v>
      </c>
      <c r="V82" s="34">
        <v>0</v>
      </c>
      <c r="W82" s="34">
        <v>0</v>
      </c>
      <c r="X82" s="34">
        <v>0</v>
      </c>
      <c r="Y82" s="34">
        <v>0</v>
      </c>
      <c r="Z82" s="22">
        <v>279479</v>
      </c>
      <c r="AA82" s="22">
        <v>286840</v>
      </c>
      <c r="AB82" s="22">
        <v>282286</v>
      </c>
      <c r="AC82" s="22">
        <v>292877</v>
      </c>
      <c r="AD82" s="22">
        <v>302055</v>
      </c>
      <c r="AE82" s="23">
        <v>8204000</v>
      </c>
      <c r="AF82" s="23">
        <v>9604000</v>
      </c>
      <c r="AG82" s="23">
        <v>7399000</v>
      </c>
      <c r="AH82" s="23">
        <v>6519000</v>
      </c>
      <c r="AI82" s="23">
        <v>7886000</v>
      </c>
      <c r="AJ82" s="22">
        <v>4.6610190151145785</v>
      </c>
      <c r="AK82" s="22">
        <v>5.1372344856309873</v>
      </c>
      <c r="AL82" s="22">
        <v>2.1233950533855928</v>
      </c>
      <c r="AM82" s="22">
        <v>2.3296517870839084</v>
      </c>
      <c r="AN82" s="22">
        <v>2.8748414912503168</v>
      </c>
      <c r="AO82" s="24">
        <f t="array" ref="AO82">('1100'!G82) / 100</f>
        <v>3.4700000000000002E-2</v>
      </c>
      <c r="AP82" s="24">
        <f t="array" ref="AP82">('1100'!H82) / 100</f>
        <v>5.0499999999999996E-2</v>
      </c>
      <c r="AQ82" s="24">
        <f t="array" ref="AQ82">('1100'!I82) / 100</f>
        <v>4.4500000000000005E-2</v>
      </c>
      <c r="AR82" s="24">
        <f t="array" ref="AR82">('1100'!J82) / 100</f>
        <v>3.61E-2</v>
      </c>
      <c r="AS82" s="24">
        <f t="array" ref="AS82">('1100'!K82) / 100</f>
        <v>4.7500000000000001E-2</v>
      </c>
      <c r="AT82" s="25">
        <f t="array" ref="AT82">('1100'!A82) / 100</f>
        <v>0.315</v>
      </c>
      <c r="AU82" s="25">
        <f t="array" ref="AU82">('1100'!B82) / 100</f>
        <v>0.315</v>
      </c>
      <c r="AV82" s="25">
        <f t="array" ref="AV82">('1100'!C82) / 100</f>
        <v>0.32799999999999996</v>
      </c>
      <c r="AW82" s="25">
        <f t="array" ref="AW82">('1100'!D82) / 100</f>
        <v>0.29899999999999999</v>
      </c>
      <c r="AX82" s="25">
        <f t="array" ref="AX82">('1100'!E82) / 100</f>
        <v>0.315</v>
      </c>
      <c r="AY82" s="23">
        <v>157374000</v>
      </c>
      <c r="AZ82" s="23">
        <v>133339000</v>
      </c>
      <c r="BA82" s="23">
        <v>107786000</v>
      </c>
      <c r="BB82" s="23">
        <v>108038000</v>
      </c>
      <c r="BC82" s="23">
        <v>110963000</v>
      </c>
      <c r="BD82" s="22">
        <v>50916000</v>
      </c>
      <c r="BE82" s="22">
        <v>51021</v>
      </c>
      <c r="BF82" s="22">
        <v>23373000</v>
      </c>
      <c r="BG82" s="22">
        <v>21414000</v>
      </c>
      <c r="BH82" s="22">
        <v>22157000</v>
      </c>
      <c r="BI82" s="23">
        <v>116392000</v>
      </c>
      <c r="BJ82" s="23">
        <v>115506000</v>
      </c>
      <c r="BK82" s="23">
        <v>63363000</v>
      </c>
      <c r="BL82" s="23">
        <v>59127000</v>
      </c>
      <c r="BM82" s="23">
        <v>62190000</v>
      </c>
      <c r="BN82" s="22">
        <v>36695000</v>
      </c>
      <c r="BO82" s="22">
        <v>36424000</v>
      </c>
      <c r="BP82" s="22">
        <v>20792000</v>
      </c>
      <c r="BQ82" s="22">
        <v>17697000</v>
      </c>
      <c r="BR82" s="22">
        <v>19569000</v>
      </c>
    </row>
    <row r="83" spans="1:70" ht="14" x14ac:dyDescent="0.2">
      <c r="A83" s="13" t="s">
        <v>269</v>
      </c>
      <c r="B83" s="14">
        <v>5568828908</v>
      </c>
      <c r="C83" s="14" t="s">
        <v>270</v>
      </c>
      <c r="D83" s="14" t="s">
        <v>67</v>
      </c>
      <c r="E83" s="15" t="s">
        <v>90</v>
      </c>
      <c r="F83" s="16">
        <v>0.11600000000000001</v>
      </c>
      <c r="G83" s="16">
        <v>0.1138</v>
      </c>
      <c r="H83" s="16">
        <v>9.6199999999999994E-2</v>
      </c>
      <c r="I83" s="16">
        <v>9.2799999999999994E-2</v>
      </c>
      <c r="J83" s="16">
        <v>0.1226</v>
      </c>
      <c r="K83" s="18">
        <v>8.5000000000000006E-2</v>
      </c>
      <c r="L83" s="18">
        <v>8.4000000000000005E-2</v>
      </c>
      <c r="M83" s="18">
        <v>2.1999999999999999E-2</v>
      </c>
      <c r="N83" s="18">
        <v>5.0000000000000001E-3</v>
      </c>
      <c r="O83" s="18">
        <v>1.7999999999999999E-2</v>
      </c>
      <c r="P83" s="19">
        <v>-2.5500000000000201E-3</v>
      </c>
      <c r="Q83" s="19">
        <v>-2.9761999999999898E-4</v>
      </c>
      <c r="R83" s="20">
        <v>0</v>
      </c>
      <c r="S83" s="19">
        <v>7.6779000000000101E-3</v>
      </c>
      <c r="T83" s="19">
        <v>3.46414000000001E-2</v>
      </c>
      <c r="U83" s="21">
        <v>0</v>
      </c>
      <c r="V83" s="21">
        <f>50970*100</f>
        <v>5097000</v>
      </c>
      <c r="W83" s="21">
        <v>0</v>
      </c>
      <c r="X83" s="21">
        <v>0</v>
      </c>
      <c r="Y83" s="21">
        <v>0</v>
      </c>
      <c r="Z83" s="22">
        <v>3643</v>
      </c>
      <c r="AA83" s="22">
        <v>3565</v>
      </c>
      <c r="AB83" s="22">
        <v>1944</v>
      </c>
      <c r="AC83" s="22">
        <v>858</v>
      </c>
      <c r="AD83" s="22">
        <v>457</v>
      </c>
      <c r="AE83" s="23">
        <v>3074000</v>
      </c>
      <c r="AF83" s="23">
        <v>2775000</v>
      </c>
      <c r="AG83" s="23">
        <v>830626</v>
      </c>
      <c r="AH83" s="23">
        <v>966559</v>
      </c>
      <c r="AI83" s="23">
        <v>555508</v>
      </c>
      <c r="AJ83" s="22">
        <v>3.7124268054651921</v>
      </c>
      <c r="AK83" s="22">
        <v>6.0082882882882886</v>
      </c>
      <c r="AL83" s="22">
        <v>8.8098939835738346</v>
      </c>
      <c r="AM83" s="22">
        <v>1.6418801128539489</v>
      </c>
      <c r="AN83" s="22">
        <v>3.1989152271434436</v>
      </c>
      <c r="AO83" s="24">
        <f t="array" ref="AO83">('1100'!G83) / 100</f>
        <v>0.1313</v>
      </c>
      <c r="AP83" s="24">
        <f t="array" ref="AP83">('1100'!H83) / 100</f>
        <v>-3.61E-2</v>
      </c>
      <c r="AQ83" s="24">
        <f t="array" ref="AQ83">('1100'!I83) / 100</f>
        <v>0.15770000000000001</v>
      </c>
      <c r="AR83" s="24">
        <f t="array" ref="AR83">('1100'!J83) / 100</f>
        <v>0.1454</v>
      </c>
      <c r="AS83" s="24">
        <f t="array" ref="AS83">('1100'!K83) / 100</f>
        <v>8.2100000000000006E-2</v>
      </c>
      <c r="AT83" s="25">
        <f t="array" ref="AT83">('1100'!A83) / 100</f>
        <v>0.63400000000000001</v>
      </c>
      <c r="AU83" s="25">
        <f t="array" ref="AU83">('1100'!B83) / 100</f>
        <v>0.60099999999999998</v>
      </c>
      <c r="AV83" s="25">
        <f t="array" ref="AV83">('1100'!C83) / 100</f>
        <v>0.59699999999999998</v>
      </c>
      <c r="AW83" s="25">
        <f t="array" ref="AW83">('1100'!D83) / 100</f>
        <v>0.64599999999999991</v>
      </c>
      <c r="AX83" s="25">
        <f t="array" ref="AX83">('1100'!E83) / 100</f>
        <v>0.4</v>
      </c>
      <c r="AY83" s="23">
        <v>29607000</v>
      </c>
      <c r="AZ83" s="23">
        <v>28707000</v>
      </c>
      <c r="BA83" s="23">
        <v>16466955</v>
      </c>
      <c r="BB83" s="23">
        <v>8290484</v>
      </c>
      <c r="BC83" s="23">
        <v>5177244</v>
      </c>
      <c r="BD83" s="22">
        <f>25160000</f>
        <v>25160000</v>
      </c>
      <c r="BE83" s="22">
        <v>25838000</v>
      </c>
      <c r="BF83" s="22">
        <v>27142539</v>
      </c>
      <c r="BG83" s="22">
        <v>3298264</v>
      </c>
      <c r="BH83" s="22">
        <v>1753906</v>
      </c>
      <c r="BI83" s="23">
        <v>53134000</v>
      </c>
      <c r="BJ83" s="23">
        <v>57284000</v>
      </c>
      <c r="BK83" s="23">
        <v>57080508</v>
      </c>
      <c r="BL83" s="23">
        <v>11634399</v>
      </c>
      <c r="BM83" s="23">
        <v>4990927</v>
      </c>
      <c r="BN83" s="22">
        <v>33662000</v>
      </c>
      <c r="BO83" s="22">
        <v>34430000</v>
      </c>
      <c r="BP83" s="22">
        <v>34052661</v>
      </c>
      <c r="BQ83" s="22">
        <v>7511987</v>
      </c>
      <c r="BR83" s="22">
        <v>1997925</v>
      </c>
    </row>
    <row r="84" spans="1:70" ht="14" x14ac:dyDescent="0.2">
      <c r="A84" s="13" t="s">
        <v>271</v>
      </c>
      <c r="B84" s="14">
        <v>5560004615</v>
      </c>
      <c r="C84" s="14" t="s">
        <v>272</v>
      </c>
      <c r="D84" s="14" t="s">
        <v>67</v>
      </c>
      <c r="E84" s="15" t="s">
        <v>68</v>
      </c>
      <c r="F84" s="16">
        <v>0.13250000000000001</v>
      </c>
      <c r="G84" s="16">
        <v>0.125</v>
      </c>
      <c r="H84" s="16">
        <v>0.10249999999999999</v>
      </c>
      <c r="I84" s="16">
        <v>0.1125</v>
      </c>
      <c r="J84" s="16">
        <v>9.5000000000000001E-2</v>
      </c>
      <c r="K84" s="18">
        <v>8.5000000000000006E-2</v>
      </c>
      <c r="L84" s="18">
        <v>8.4000000000000005E-2</v>
      </c>
      <c r="M84" s="18">
        <v>2.1999999999999999E-2</v>
      </c>
      <c r="N84" s="18">
        <v>5.0000000000000001E-3</v>
      </c>
      <c r="O84" s="18">
        <v>1.7999999999999999E-2</v>
      </c>
      <c r="P84" s="19">
        <v>-2.5500000000000201E-3</v>
      </c>
      <c r="Q84" s="19">
        <v>-2.9761999999999898E-4</v>
      </c>
      <c r="R84" s="20">
        <v>0</v>
      </c>
      <c r="S84" s="19">
        <v>7.6779000000000101E-3</v>
      </c>
      <c r="T84" s="19">
        <v>3.46414000000001E-2</v>
      </c>
      <c r="U84" s="21">
        <v>0</v>
      </c>
      <c r="V84" s="21">
        <f>158*1000</f>
        <v>158000</v>
      </c>
      <c r="W84" s="21">
        <f>1*1000</f>
        <v>1000</v>
      </c>
      <c r="X84" s="21">
        <f>53*1000</f>
        <v>53000</v>
      </c>
      <c r="Y84" s="21">
        <f>547*1000</f>
        <v>547000</v>
      </c>
      <c r="Z84" s="22">
        <v>27256</v>
      </c>
      <c r="AA84" s="22">
        <v>28380</v>
      </c>
      <c r="AB84" s="22">
        <v>30051</v>
      </c>
      <c r="AC84" s="22">
        <v>32463</v>
      </c>
      <c r="AD84" s="22">
        <v>34756</v>
      </c>
      <c r="AE84" s="23">
        <v>7867000</v>
      </c>
      <c r="AF84" s="23">
        <v>12735000</v>
      </c>
      <c r="AG84" s="23">
        <v>10962000</v>
      </c>
      <c r="AH84" s="23">
        <v>15578000</v>
      </c>
      <c r="AI84" s="23">
        <v>7429754</v>
      </c>
      <c r="AJ84" s="22">
        <v>2.5837040803355791</v>
      </c>
      <c r="AK84" s="22">
        <v>1.0895956026698077</v>
      </c>
      <c r="AL84" s="22">
        <v>1.9361430395913155</v>
      </c>
      <c r="AM84" s="22">
        <v>1.1395557837976633</v>
      </c>
      <c r="AN84" s="22">
        <v>2.465626721961454</v>
      </c>
      <c r="AO84" s="24">
        <f t="array" ref="AO84">('1100'!G84) / 100</f>
        <v>4.07E-2</v>
      </c>
      <c r="AP84" s="24">
        <f t="array" ref="AP84">('1100'!H84) / 100</f>
        <v>6.6799999999999998E-2</v>
      </c>
      <c r="AQ84" s="24">
        <f t="array" ref="AQ84">('1100'!I84) / 100</f>
        <v>0.06</v>
      </c>
      <c r="AR84" s="24">
        <f t="array" ref="AR84">('1100'!J84) / 100</f>
        <v>8.0799999999999997E-2</v>
      </c>
      <c r="AS84" s="24">
        <f t="array" ref="AS84">('1100'!K84) / 100</f>
        <v>4.58E-2</v>
      </c>
      <c r="AT84" s="25">
        <f t="array" ref="AT84">('1100'!A84) / 100</f>
        <v>0.36200000000000004</v>
      </c>
      <c r="AU84" s="25">
        <f t="array" ref="AU84">('1100'!B84) / 100</f>
        <v>0.36399999999999999</v>
      </c>
      <c r="AV84" s="25">
        <f t="array" ref="AV84">('1100'!C84) / 100</f>
        <v>0.32899999999999996</v>
      </c>
      <c r="AW84" s="25">
        <f t="array" ref="AW84">('1100'!D84) / 100</f>
        <v>0.307</v>
      </c>
      <c r="AX84" s="25">
        <f t="array" ref="AX84">('1100'!E84) / 100</f>
        <v>0.26100000000000001</v>
      </c>
      <c r="AY84" s="23">
        <v>168539000</v>
      </c>
      <c r="AZ84" s="23">
        <v>165501000</v>
      </c>
      <c r="BA84" s="23">
        <v>144314000</v>
      </c>
      <c r="BB84" s="23">
        <v>164359000</v>
      </c>
      <c r="BC84" s="23">
        <v>173437000</v>
      </c>
      <c r="BD84" s="22">
        <v>3919000</v>
      </c>
      <c r="BE84" s="22">
        <v>4160000</v>
      </c>
      <c r="BF84" s="22">
        <v>3934000</v>
      </c>
      <c r="BG84" s="22">
        <v>3713000</v>
      </c>
      <c r="BH84" s="22">
        <v>4057000</v>
      </c>
      <c r="BI84" s="23">
        <v>155189000</v>
      </c>
      <c r="BJ84" s="23">
        <v>151593000</v>
      </c>
      <c r="BK84" s="23">
        <v>139039000</v>
      </c>
      <c r="BL84" s="23">
        <v>125631000</v>
      </c>
      <c r="BM84" s="23">
        <v>126018000</v>
      </c>
      <c r="BN84" s="22">
        <v>56202000</v>
      </c>
      <c r="BO84" s="22">
        <v>55111000</v>
      </c>
      <c r="BP84" s="22">
        <v>45683000</v>
      </c>
      <c r="BQ84" s="22">
        <v>38620000</v>
      </c>
      <c r="BR84" s="22">
        <v>32924000</v>
      </c>
    </row>
    <row r="85" spans="1:70" ht="15" x14ac:dyDescent="0.2">
      <c r="A85" s="13" t="s">
        <v>273</v>
      </c>
      <c r="B85" s="14">
        <v>5560936949</v>
      </c>
      <c r="C85" s="14" t="s">
        <v>274</v>
      </c>
      <c r="D85" s="14" t="s">
        <v>67</v>
      </c>
      <c r="E85" s="15" t="s">
        <v>275</v>
      </c>
      <c r="F85" s="16">
        <v>0.08</v>
      </c>
      <c r="G85" s="16">
        <v>0.08</v>
      </c>
      <c r="H85" s="16">
        <v>0.08</v>
      </c>
      <c r="I85" s="16">
        <v>0.08</v>
      </c>
      <c r="J85" s="16">
        <v>0.08</v>
      </c>
      <c r="K85" s="18">
        <v>8.5000000000000006E-2</v>
      </c>
      <c r="L85" s="18">
        <v>8.4000000000000005E-2</v>
      </c>
      <c r="M85" s="18">
        <v>2.1999999999999999E-2</v>
      </c>
      <c r="N85" s="18">
        <v>5.0000000000000001E-3</v>
      </c>
      <c r="O85" s="18">
        <v>1.7999999999999999E-2</v>
      </c>
      <c r="P85" s="19">
        <v>-2.5500000000000201E-3</v>
      </c>
      <c r="Q85" s="19">
        <v>-2.9761999999999898E-4</v>
      </c>
      <c r="R85" s="20">
        <v>0</v>
      </c>
      <c r="S85" s="19">
        <v>7.6779000000000101E-3</v>
      </c>
      <c r="T85" s="19">
        <v>3.46414000000001E-2</v>
      </c>
      <c r="U85" s="34">
        <v>0</v>
      </c>
      <c r="V85" s="34">
        <v>0</v>
      </c>
      <c r="W85" s="34">
        <v>0</v>
      </c>
      <c r="X85" s="34">
        <v>0</v>
      </c>
      <c r="Y85" s="34">
        <v>0</v>
      </c>
      <c r="Z85" s="22">
        <v>1554</v>
      </c>
      <c r="AA85" s="22">
        <v>1514</v>
      </c>
      <c r="AB85" s="22">
        <v>1196</v>
      </c>
      <c r="AC85" s="22">
        <v>1166</v>
      </c>
      <c r="AD85" s="22">
        <v>1322</v>
      </c>
      <c r="AE85" s="23">
        <v>1078670</v>
      </c>
      <c r="AF85" s="23">
        <v>1313269</v>
      </c>
      <c r="AG85" s="23">
        <v>831827</v>
      </c>
      <c r="AH85" s="23">
        <v>767643</v>
      </c>
      <c r="AI85" s="23">
        <v>877167</v>
      </c>
      <c r="AJ85" s="22">
        <v>4.0078244504806841</v>
      </c>
      <c r="AK85" s="22">
        <v>2.801772523374876</v>
      </c>
      <c r="AL85" s="22">
        <v>3.8765680844694872</v>
      </c>
      <c r="AM85" s="22">
        <v>3.6766595930660477</v>
      </c>
      <c r="AN85" s="22">
        <v>2.2466679663051621</v>
      </c>
      <c r="AO85" s="24">
        <f t="array" ref="AO85">('1100'!G85) / 100</f>
        <v>0.16339999999999999</v>
      </c>
      <c r="AP85" s="24">
        <f t="array" ref="AP85">('1100'!H85) / 100</f>
        <v>0.24030000000000001</v>
      </c>
      <c r="AQ85" s="24">
        <f t="array" ref="AQ85">('1100'!I85) / 100</f>
        <v>0.11939999999999999</v>
      </c>
      <c r="AR85" s="24">
        <f t="array" ref="AR85">('1100'!J85) / 100</f>
        <v>0.1867</v>
      </c>
      <c r="AS85" s="24">
        <f t="array" ref="AS85">('1100'!K85) / 100</f>
        <v>0.24410000000000001</v>
      </c>
      <c r="AT85" s="25">
        <f t="array" ref="AT85">('1100'!A85) / 100</f>
        <v>0.39799999999999996</v>
      </c>
      <c r="AU85" s="25">
        <f t="array" ref="AU85">('1100'!B85) / 100</f>
        <v>0.42100000000000004</v>
      </c>
      <c r="AV85" s="25">
        <f t="array" ref="AV85">('1100'!C85) / 100</f>
        <v>0.40100000000000002</v>
      </c>
      <c r="AW85" s="25">
        <f t="array" ref="AW85">('1100'!D85) / 100</f>
        <v>0.41700000000000004</v>
      </c>
      <c r="AX85" s="25">
        <f t="array" ref="AX85">('1100'!E85) / 100</f>
        <v>0.503</v>
      </c>
      <c r="AY85" s="23">
        <v>4305944</v>
      </c>
      <c r="AZ85" s="23">
        <v>4198576</v>
      </c>
      <c r="BA85" s="23">
        <v>3056173</v>
      </c>
      <c r="BB85" s="23">
        <v>2409167</v>
      </c>
      <c r="BC85" s="23">
        <v>2694875</v>
      </c>
      <c r="BD85" s="22">
        <v>97475</v>
      </c>
      <c r="BE85" s="22">
        <v>102032</v>
      </c>
      <c r="BF85" s="22">
        <v>88319</v>
      </c>
      <c r="BG85" s="22">
        <v>89942</v>
      </c>
      <c r="BH85" s="22">
        <v>96151</v>
      </c>
      <c r="BI85" s="23">
        <v>8760992</v>
      </c>
      <c r="BJ85" s="23">
        <v>7973524</v>
      </c>
      <c r="BK85" s="23">
        <v>6873997</v>
      </c>
      <c r="BL85" s="23">
        <v>6023251</v>
      </c>
      <c r="BM85" s="23">
        <v>5065777</v>
      </c>
      <c r="BN85" s="22">
        <v>3482496</v>
      </c>
      <c r="BO85" s="22">
        <v>3357177</v>
      </c>
      <c r="BP85" s="22">
        <v>2758305</v>
      </c>
      <c r="BQ85" s="22">
        <v>2511019</v>
      </c>
      <c r="BR85" s="22">
        <v>2545644</v>
      </c>
    </row>
    <row r="86" spans="1:70" ht="15" x14ac:dyDescent="0.2">
      <c r="A86" s="13" t="s">
        <v>276</v>
      </c>
      <c r="B86" s="14">
        <v>5560163429</v>
      </c>
      <c r="C86" s="14" t="s">
        <v>277</v>
      </c>
      <c r="D86" s="14" t="s">
        <v>67</v>
      </c>
      <c r="E86" s="15" t="s">
        <v>68</v>
      </c>
      <c r="F86" s="16">
        <v>0.11600000000000001</v>
      </c>
      <c r="G86" s="16">
        <v>0.11600000000000001</v>
      </c>
      <c r="H86" s="16">
        <v>8.5999999999999993E-2</v>
      </c>
      <c r="I86" s="16">
        <v>7.6999999999999999E-2</v>
      </c>
      <c r="J86" s="16">
        <v>7.6999999999999999E-2</v>
      </c>
      <c r="K86" s="18">
        <v>8.5000000000000006E-2</v>
      </c>
      <c r="L86" s="18">
        <v>8.4000000000000005E-2</v>
      </c>
      <c r="M86" s="18">
        <v>2.1999999999999999E-2</v>
      </c>
      <c r="N86" s="18">
        <v>5.0000000000000001E-3</v>
      </c>
      <c r="O86" s="18">
        <v>1.7999999999999999E-2</v>
      </c>
      <c r="P86" s="19">
        <v>-2.5500000000000201E-3</v>
      </c>
      <c r="Q86" s="19">
        <v>-2.9761999999999898E-4</v>
      </c>
      <c r="R86" s="20">
        <v>0</v>
      </c>
      <c r="S86" s="19">
        <v>7.6779000000000101E-3</v>
      </c>
      <c r="T86" s="19">
        <v>3.46414000000001E-2</v>
      </c>
      <c r="U86" s="34">
        <v>0</v>
      </c>
      <c r="V86" s="34">
        <v>0</v>
      </c>
      <c r="W86" s="34">
        <f>33291*1000</f>
        <v>33291000</v>
      </c>
      <c r="X86" s="34">
        <v>0</v>
      </c>
      <c r="Y86" s="34">
        <v>0</v>
      </c>
      <c r="Z86" s="22">
        <v>15754</v>
      </c>
      <c r="AA86" s="22">
        <v>15799</v>
      </c>
      <c r="AB86" s="22">
        <v>15255</v>
      </c>
      <c r="AC86" s="22">
        <v>15121</v>
      </c>
      <c r="AD86" s="22">
        <v>15829</v>
      </c>
      <c r="AE86" s="23">
        <v>22794000</v>
      </c>
      <c r="AF86" s="27">
        <v>-969000</v>
      </c>
      <c r="AG86" s="23">
        <v>22094000</v>
      </c>
      <c r="AH86" s="23">
        <v>3361000</v>
      </c>
      <c r="AI86" s="23">
        <v>5341090</v>
      </c>
      <c r="AJ86" s="22">
        <v>0.53167500219355968</v>
      </c>
      <c r="AK86" s="28">
        <v>-12.028895768833848</v>
      </c>
      <c r="AL86" s="22">
        <v>0.54793156513080477</v>
      </c>
      <c r="AM86" s="22">
        <v>3.4778339779827432</v>
      </c>
      <c r="AN86" s="22">
        <v>2.3925827874085628</v>
      </c>
      <c r="AO86" s="24">
        <f t="array" ref="AO86">('1100'!G86) / 100</f>
        <v>0.14980000000000002</v>
      </c>
      <c r="AP86" s="24">
        <f t="array" ref="AP86">('1100'!H86) / 100</f>
        <v>-8.3000000000000001E-3</v>
      </c>
      <c r="AQ86" s="24">
        <f t="array" ref="AQ86">('1100'!I86) / 100</f>
        <v>0.21829999999999999</v>
      </c>
      <c r="AR86" s="24">
        <f t="array" ref="AR86">('1100'!J86) / 100</f>
        <v>2.76E-2</v>
      </c>
      <c r="AS86" s="24">
        <f t="array" ref="AS86">('1100'!K86) / 100</f>
        <v>3.2199999999999999E-2</v>
      </c>
      <c r="AT86" s="25">
        <f t="array" ref="AT86">('1100'!A86) / 100</f>
        <v>0.629</v>
      </c>
      <c r="AU86" s="25">
        <f t="array" ref="AU86">('1100'!B86) / 100</f>
        <v>0.61199999999999999</v>
      </c>
      <c r="AV86" s="25">
        <f t="array" ref="AV86">('1100'!C86) / 100</f>
        <v>0.65599999999999992</v>
      </c>
      <c r="AW86" s="25">
        <f t="array" ref="AW86">('1100'!D86) / 100</f>
        <v>0.60899999999999999</v>
      </c>
      <c r="AX86" s="25">
        <f t="array" ref="AX86">('1100'!E86) / 100</f>
        <v>0.64200000000000002</v>
      </c>
      <c r="AY86" s="23">
        <v>120678000</v>
      </c>
      <c r="AZ86" s="23">
        <v>130334000</v>
      </c>
      <c r="BA86" s="23">
        <v>96853000</v>
      </c>
      <c r="BB86" s="23">
        <v>66165000</v>
      </c>
      <c r="BC86" s="23">
        <v>77770000</v>
      </c>
      <c r="BD86" s="22">
        <v>348000</v>
      </c>
      <c r="BE86" s="22">
        <v>349000</v>
      </c>
      <c r="BF86" s="22">
        <v>30375000</v>
      </c>
      <c r="BG86" s="22">
        <v>27872000</v>
      </c>
      <c r="BH86" s="22">
        <v>31279000</v>
      </c>
      <c r="BI86" s="23">
        <v>107839000</v>
      </c>
      <c r="BJ86" s="23">
        <v>109711000</v>
      </c>
      <c r="BK86" s="23">
        <v>112019000</v>
      </c>
      <c r="BL86" s="23">
        <v>88601000</v>
      </c>
      <c r="BM86" s="23">
        <v>93978000</v>
      </c>
      <c r="BN86" s="22">
        <v>67871000</v>
      </c>
      <c r="BO86" s="22">
        <v>67124000</v>
      </c>
      <c r="BP86" s="22">
        <v>73477000</v>
      </c>
      <c r="BQ86" s="22">
        <v>53987000</v>
      </c>
      <c r="BR86" s="22">
        <v>60314000</v>
      </c>
    </row>
    <row r="87" spans="1:70" ht="15" x14ac:dyDescent="0.2">
      <c r="A87" s="13" t="s">
        <v>278</v>
      </c>
      <c r="B87" s="14">
        <v>5567213078</v>
      </c>
      <c r="C87" s="14" t="s">
        <v>279</v>
      </c>
      <c r="D87" s="14" t="s">
        <v>67</v>
      </c>
      <c r="E87" s="15" t="s">
        <v>210</v>
      </c>
      <c r="F87" s="16">
        <f>0.087</f>
        <v>8.6999999999999994E-2</v>
      </c>
      <c r="G87" s="16">
        <f>0.082</f>
        <v>8.2000000000000003E-2</v>
      </c>
      <c r="H87" s="16">
        <f t="shared" ref="H87:I87" si="11">0.071</f>
        <v>7.0999999999999994E-2</v>
      </c>
      <c r="I87" s="16">
        <f t="shared" si="11"/>
        <v>7.0999999999999994E-2</v>
      </c>
      <c r="J87" s="16">
        <f>0.1</f>
        <v>0.1</v>
      </c>
      <c r="K87" s="18">
        <v>8.5000000000000006E-2</v>
      </c>
      <c r="L87" s="18">
        <v>8.4000000000000005E-2</v>
      </c>
      <c r="M87" s="18">
        <v>2.1999999999999999E-2</v>
      </c>
      <c r="N87" s="18">
        <v>5.0000000000000001E-3</v>
      </c>
      <c r="O87" s="18">
        <v>1.7999999999999999E-2</v>
      </c>
      <c r="P87" s="19">
        <v>-2.5500000000000201E-3</v>
      </c>
      <c r="Q87" s="19">
        <v>-2.9761999999999898E-4</v>
      </c>
      <c r="R87" s="20">
        <v>0</v>
      </c>
      <c r="S87" s="19">
        <v>7.6779000000000101E-3</v>
      </c>
      <c r="T87" s="19">
        <v>3.46414000000001E-2</v>
      </c>
      <c r="U87" s="34">
        <v>0</v>
      </c>
      <c r="V87" s="34">
        <v>0</v>
      </c>
      <c r="W87" s="34">
        <v>0</v>
      </c>
      <c r="X87" s="34">
        <v>0</v>
      </c>
      <c r="Y87" s="34">
        <v>0</v>
      </c>
      <c r="Z87" s="22">
        <v>1262</v>
      </c>
      <c r="AA87" s="22">
        <v>1516</v>
      </c>
      <c r="AB87" s="22">
        <v>1208</v>
      </c>
      <c r="AC87" s="22">
        <v>896</v>
      </c>
      <c r="AD87" s="22">
        <v>700</v>
      </c>
      <c r="AE87" s="23">
        <v>2414000</v>
      </c>
      <c r="AF87" s="23">
        <v>2544000</v>
      </c>
      <c r="AG87" s="23">
        <v>2020000</v>
      </c>
      <c r="AH87" s="23">
        <v>1553000</v>
      </c>
      <c r="AI87" s="23">
        <v>741000</v>
      </c>
      <c r="AJ87" s="22">
        <v>3.0157415078707541</v>
      </c>
      <c r="AK87" s="22">
        <v>3.1175314465408803</v>
      </c>
      <c r="AL87" s="22">
        <v>3.6455445544554457</v>
      </c>
      <c r="AM87" s="22">
        <v>3.1216999356084996</v>
      </c>
      <c r="AN87" s="22">
        <v>2.1524966261808367</v>
      </c>
      <c r="AO87" s="24">
        <f t="array" ref="AO87">('1100'!G87) / 100</f>
        <v>0.1186</v>
      </c>
      <c r="AP87" s="24">
        <f t="array" ref="AP87">('1100'!H87) / 100</f>
        <v>0.15659999999999999</v>
      </c>
      <c r="AQ87" s="24">
        <f t="array" ref="AQ87">('1100'!I87) / 100</f>
        <v>0.19359999999999999</v>
      </c>
      <c r="AR87" s="24">
        <f t="array" ref="AR87">('1100'!J87) / 100</f>
        <v>0.25180000000000002</v>
      </c>
      <c r="AS87" s="24">
        <f t="array" ref="AS87">('1100'!K87) / 100</f>
        <v>0.30859999999999999</v>
      </c>
      <c r="AT87" s="25">
        <f t="array" ref="AT87">('1100'!A87) / 100</f>
        <v>0.61199999999999999</v>
      </c>
      <c r="AU87" s="25">
        <f t="array" ref="AU87">('1100'!B87) / 100</f>
        <v>0.59</v>
      </c>
      <c r="AV87" s="25">
        <f t="array" ref="AV87">('1100'!C87) / 100</f>
        <v>0.48700000000000004</v>
      </c>
      <c r="AW87" s="25">
        <f t="array" ref="AW87">('1100'!D87) / 100</f>
        <v>0.496</v>
      </c>
      <c r="AX87" s="25">
        <f t="array" ref="AX87">('1100'!E87) / 100</f>
        <v>0.47899999999999998</v>
      </c>
      <c r="AY87" s="23">
        <v>7584000</v>
      </c>
      <c r="AZ87" s="23">
        <v>7695000</v>
      </c>
      <c r="BA87" s="23">
        <v>5943000</v>
      </c>
      <c r="BB87" s="23">
        <v>4334000</v>
      </c>
      <c r="BC87" s="23">
        <v>2175000</v>
      </c>
      <c r="BD87" s="22">
        <v>15595000</v>
      </c>
      <c r="BE87" s="22">
        <v>16043000</v>
      </c>
      <c r="BF87" s="22">
        <v>12752000</v>
      </c>
      <c r="BG87" s="22">
        <v>7929000</v>
      </c>
      <c r="BH87" s="22">
        <v>2211000</v>
      </c>
      <c r="BI87" s="23">
        <v>22605000</v>
      </c>
      <c r="BJ87" s="23">
        <v>24126000</v>
      </c>
      <c r="BK87" s="23">
        <v>20049000</v>
      </c>
      <c r="BL87" s="23">
        <v>12367000</v>
      </c>
      <c r="BM87" s="23">
        <v>4052000</v>
      </c>
      <c r="BN87" s="22">
        <v>13837000</v>
      </c>
      <c r="BO87" s="22">
        <v>14235000</v>
      </c>
      <c r="BP87" s="22">
        <v>9773000</v>
      </c>
      <c r="BQ87" s="22">
        <v>6129000</v>
      </c>
      <c r="BR87" s="22">
        <v>1941000</v>
      </c>
    </row>
    <row r="88" spans="1:70" ht="15" x14ac:dyDescent="0.2">
      <c r="A88" s="13" t="s">
        <v>280</v>
      </c>
      <c r="B88" s="14">
        <v>5592238694</v>
      </c>
      <c r="C88" s="14" t="s">
        <v>281</v>
      </c>
      <c r="D88" s="14" t="s">
        <v>67</v>
      </c>
      <c r="E88" s="15" t="s">
        <v>82</v>
      </c>
      <c r="F88" s="16">
        <v>0.1351</v>
      </c>
      <c r="G88" s="16">
        <v>0.1188</v>
      </c>
      <c r="H88" s="16">
        <v>8.5000000000000006E-2</v>
      </c>
      <c r="I88" s="16">
        <f>0.092</f>
        <v>9.1999999999999998E-2</v>
      </c>
      <c r="J88" s="16">
        <f>0.096</f>
        <v>9.6000000000000002E-2</v>
      </c>
      <c r="K88" s="18">
        <v>8.5000000000000006E-2</v>
      </c>
      <c r="L88" s="18">
        <v>8.4000000000000005E-2</v>
      </c>
      <c r="M88" s="18">
        <v>2.1999999999999999E-2</v>
      </c>
      <c r="N88" s="18">
        <v>5.0000000000000001E-3</v>
      </c>
      <c r="O88" s="18">
        <v>1.7999999999999999E-2</v>
      </c>
      <c r="P88" s="19">
        <v>-2.5500000000000201E-3</v>
      </c>
      <c r="Q88" s="19">
        <v>-2.9761999999999898E-4</v>
      </c>
      <c r="R88" s="20">
        <v>0</v>
      </c>
      <c r="S88" s="19">
        <v>7.6779000000000101E-3</v>
      </c>
      <c r="T88" s="19">
        <v>3.46414000000001E-2</v>
      </c>
      <c r="U88" s="34">
        <v>0</v>
      </c>
      <c r="V88" s="34">
        <v>0</v>
      </c>
      <c r="W88" s="34">
        <v>0</v>
      </c>
      <c r="X88" s="34">
        <v>0</v>
      </c>
      <c r="Y88" s="21">
        <f>28*1000</f>
        <v>28000</v>
      </c>
      <c r="Z88" s="22">
        <v>11654</v>
      </c>
      <c r="AA88" s="22">
        <v>11263</v>
      </c>
      <c r="AB88" s="22">
        <v>5760</v>
      </c>
      <c r="AC88" s="22">
        <v>3154</v>
      </c>
      <c r="AD88" s="22">
        <v>2222</v>
      </c>
      <c r="AE88" s="23">
        <v>4362000</v>
      </c>
      <c r="AF88" s="23">
        <v>4241000</v>
      </c>
      <c r="AG88" s="23">
        <v>2216000</v>
      </c>
      <c r="AH88" s="23">
        <v>1199000</v>
      </c>
      <c r="AI88" s="23">
        <v>650714</v>
      </c>
      <c r="AJ88" s="22">
        <v>3.524530032095369</v>
      </c>
      <c r="AK88" s="22">
        <v>4.400141476066965</v>
      </c>
      <c r="AL88" s="22">
        <v>4.4963898916967509</v>
      </c>
      <c r="AM88" s="22">
        <v>3.7773144286905755</v>
      </c>
      <c r="AN88" s="22">
        <v>4.8336166119063062</v>
      </c>
      <c r="AO88" s="24">
        <f t="array" ref="AO88">('1100'!G88) / 100</f>
        <v>7.400000000000001E-2</v>
      </c>
      <c r="AP88" s="24">
        <f t="array" ref="AP88">('1100'!H88) / 100</f>
        <v>9.0200000000000002E-2</v>
      </c>
      <c r="AQ88" s="24">
        <f t="array" ref="AQ88">('1100'!I88) / 100</f>
        <v>8.900000000000001E-2</v>
      </c>
      <c r="AR88" s="24">
        <f t="array" ref="AR88">('1100'!J88) / 100</f>
        <v>8.7400000000000005E-2</v>
      </c>
      <c r="AS88" s="24">
        <f t="array" ref="AS88">('1100'!K88) / 100</f>
        <v>6.2100000000000002E-2</v>
      </c>
      <c r="AT88" s="25">
        <f t="array" ref="AT88">('1100'!A88) / 100</f>
        <v>0.46299999999999997</v>
      </c>
      <c r="AU88" s="25">
        <f t="array" ref="AU88">('1100'!B88) / 100</f>
        <v>0.41299999999999998</v>
      </c>
      <c r="AV88" s="25">
        <f t="array" ref="AV88">('1100'!C88) / 100</f>
        <v>0.47799999999999998</v>
      </c>
      <c r="AW88" s="25">
        <f t="array" ref="AW88">('1100'!D88) / 100</f>
        <v>0.40899999999999997</v>
      </c>
      <c r="AX88" s="25">
        <f t="array" ref="AX88">('1100'!E88) / 100</f>
        <v>0.36700000000000005</v>
      </c>
      <c r="AY88" s="23">
        <v>37092000</v>
      </c>
      <c r="AZ88" s="23">
        <v>35644000</v>
      </c>
      <c r="BA88" s="23">
        <v>18034000</v>
      </c>
      <c r="BB88" s="23">
        <v>9160000</v>
      </c>
      <c r="BC88" s="23">
        <v>6230870</v>
      </c>
      <c r="BD88" s="22">
        <v>18762000</v>
      </c>
      <c r="BE88" s="22">
        <v>18989000</v>
      </c>
      <c r="BF88" s="22">
        <v>12194000</v>
      </c>
      <c r="BG88" s="22">
        <v>4652000</v>
      </c>
      <c r="BH88" s="22">
        <v>2739701</v>
      </c>
      <c r="BI88" s="23">
        <v>44169000</v>
      </c>
      <c r="BJ88" s="23">
        <v>47482000</v>
      </c>
      <c r="BK88" s="23">
        <v>32223000</v>
      </c>
      <c r="BL88" s="23">
        <v>12002000</v>
      </c>
      <c r="BM88" s="23">
        <v>7922650</v>
      </c>
      <c r="BN88" s="22">
        <v>20435000</v>
      </c>
      <c r="BO88" s="22">
        <v>19595000</v>
      </c>
      <c r="BP88" s="22">
        <v>15395000</v>
      </c>
      <c r="BQ88" s="22">
        <v>4909000</v>
      </c>
      <c r="BR88" s="22">
        <v>2904540</v>
      </c>
    </row>
    <row r="89" spans="1:70" ht="15" x14ac:dyDescent="0.2">
      <c r="A89" s="13" t="s">
        <v>282</v>
      </c>
      <c r="B89" s="14">
        <v>5565429841</v>
      </c>
      <c r="C89" s="14" t="s">
        <v>283</v>
      </c>
      <c r="D89" s="14" t="s">
        <v>67</v>
      </c>
      <c r="E89" s="15" t="s">
        <v>68</v>
      </c>
      <c r="F89" s="16">
        <v>9.4299999999999995E-2</v>
      </c>
      <c r="G89" s="16">
        <v>0.10780000000000001</v>
      </c>
      <c r="H89" s="16">
        <v>8.4000000000000005E-2</v>
      </c>
      <c r="I89" s="16">
        <v>8.3500000000000005E-2</v>
      </c>
      <c r="J89" s="16">
        <v>6.7500000000000004E-2</v>
      </c>
      <c r="K89" s="18">
        <v>8.5000000000000006E-2</v>
      </c>
      <c r="L89" s="18">
        <v>8.4000000000000005E-2</v>
      </c>
      <c r="M89" s="18">
        <v>2.1999999999999999E-2</v>
      </c>
      <c r="N89" s="18">
        <v>5.0000000000000001E-3</v>
      </c>
      <c r="O89" s="18">
        <v>1.7999999999999999E-2</v>
      </c>
      <c r="P89" s="19">
        <v>-2.5500000000000201E-3</v>
      </c>
      <c r="Q89" s="19">
        <v>-2.9761999999999898E-4</v>
      </c>
      <c r="R89" s="20">
        <v>0</v>
      </c>
      <c r="S89" s="19">
        <v>7.6779000000000101E-3</v>
      </c>
      <c r="T89" s="19">
        <v>3.46414000000001E-2</v>
      </c>
      <c r="U89" s="34">
        <v>0</v>
      </c>
      <c r="V89" s="34">
        <v>0</v>
      </c>
      <c r="W89" s="34">
        <v>0</v>
      </c>
      <c r="X89" s="34">
        <v>0</v>
      </c>
      <c r="Y89" s="34">
        <v>0</v>
      </c>
      <c r="Z89" s="22">
        <v>6276</v>
      </c>
      <c r="AA89" s="22">
        <v>18651</v>
      </c>
      <c r="AB89" s="22">
        <v>17802</v>
      </c>
      <c r="AC89" s="22">
        <v>5757</v>
      </c>
      <c r="AD89" s="22">
        <v>16412</v>
      </c>
      <c r="AE89" s="23">
        <v>3591000</v>
      </c>
      <c r="AF89" s="23">
        <v>3268000</v>
      </c>
      <c r="AG89" s="23">
        <v>2987000</v>
      </c>
      <c r="AH89" s="23">
        <v>2692000</v>
      </c>
      <c r="AI89" s="23">
        <v>2839000</v>
      </c>
      <c r="AJ89" s="22">
        <v>1.44416597048176</v>
      </c>
      <c r="AK89" s="22">
        <v>1.1502447980416157</v>
      </c>
      <c r="AL89" s="22">
        <v>1.4757281553398058</v>
      </c>
      <c r="AM89" s="22">
        <v>2.1545319465081723</v>
      </c>
      <c r="AN89" s="22">
        <v>2.1747094047199718</v>
      </c>
      <c r="AO89" s="24">
        <f t="array" ref="AO89">('1100'!G89) / 100</f>
        <v>8.5900000000000004E-2</v>
      </c>
      <c r="AP89" s="24">
        <f t="array" ref="AP89">('1100'!H89) / 100</f>
        <v>9.2899999999999996E-2</v>
      </c>
      <c r="AQ89" s="24">
        <f t="array" ref="AQ89">('1100'!I89) / 100</f>
        <v>9.0999999999999998E-2</v>
      </c>
      <c r="AR89" s="24">
        <f t="array" ref="AR89">('1100'!J89) / 100</f>
        <v>8.2200000000000009E-2</v>
      </c>
      <c r="AS89" s="24">
        <f t="array" ref="AS89">('1100'!K89) / 100</f>
        <v>9.2100000000000015E-2</v>
      </c>
      <c r="AT89" s="25">
        <f t="array" ref="AT89">('1100'!A89) / 100</f>
        <v>0.41499999999999998</v>
      </c>
      <c r="AU89" s="25">
        <f t="array" ref="AU89">('1100'!B89) / 100</f>
        <v>0.45399999999999996</v>
      </c>
      <c r="AV89" s="25">
        <f t="array" ref="AV89">('1100'!C89) / 100</f>
        <v>0.43700000000000006</v>
      </c>
      <c r="AW89" s="25">
        <f t="array" ref="AW89">('1100'!D89) / 100</f>
        <v>0.37799999999999995</v>
      </c>
      <c r="AX89" s="25">
        <f t="array" ref="AX89">('1100'!E89) / 100</f>
        <v>0.371</v>
      </c>
      <c r="AY89" s="23">
        <v>28562000</v>
      </c>
      <c r="AZ89" s="23">
        <v>24327000</v>
      </c>
      <c r="BA89" s="23">
        <v>21803000</v>
      </c>
      <c r="BB89" s="23">
        <v>20865000</v>
      </c>
      <c r="BC89" s="23">
        <v>20646000</v>
      </c>
      <c r="BD89" s="22">
        <v>10465000</v>
      </c>
      <c r="BE89" s="22">
        <v>9198000</v>
      </c>
      <c r="BF89" s="22">
        <v>8143000</v>
      </c>
      <c r="BG89" s="22">
        <v>7593000</v>
      </c>
      <c r="BH89" s="22">
        <v>7471000</v>
      </c>
      <c r="BI89" s="23">
        <v>25512000</v>
      </c>
      <c r="BJ89" s="23">
        <v>21916000</v>
      </c>
      <c r="BK89" s="23">
        <v>19657000</v>
      </c>
      <c r="BL89" s="23">
        <v>19948000</v>
      </c>
      <c r="BM89" s="23">
        <v>19303000</v>
      </c>
      <c r="BN89" s="22">
        <v>10590000</v>
      </c>
      <c r="BO89" s="22">
        <v>9939000</v>
      </c>
      <c r="BP89" s="22">
        <v>8595000</v>
      </c>
      <c r="BQ89" s="22">
        <v>7548000</v>
      </c>
      <c r="BR89" s="22">
        <v>7154000</v>
      </c>
    </row>
    <row r="90" spans="1:70" ht="15" x14ac:dyDescent="0.2">
      <c r="A90" s="13" t="s">
        <v>284</v>
      </c>
      <c r="B90" s="14">
        <v>5560389321</v>
      </c>
      <c r="C90" s="14" t="s">
        <v>285</v>
      </c>
      <c r="D90" s="14" t="s">
        <v>67</v>
      </c>
      <c r="E90" s="15" t="s">
        <v>114</v>
      </c>
      <c r="F90" s="16">
        <v>0.10100000000000001</v>
      </c>
      <c r="G90" s="16">
        <v>0.10100000000000001</v>
      </c>
      <c r="H90" s="16">
        <v>0.1</v>
      </c>
      <c r="I90" s="16">
        <v>0.1</v>
      </c>
      <c r="J90" s="16">
        <v>0.10199999999999999</v>
      </c>
      <c r="K90" s="18">
        <v>8.5000000000000006E-2</v>
      </c>
      <c r="L90" s="18">
        <v>8.4000000000000005E-2</v>
      </c>
      <c r="M90" s="18">
        <v>2.1999999999999999E-2</v>
      </c>
      <c r="N90" s="18">
        <v>5.0000000000000001E-3</v>
      </c>
      <c r="O90" s="18">
        <v>1.7999999999999999E-2</v>
      </c>
      <c r="P90" s="19">
        <v>-2.5500000000000201E-3</v>
      </c>
      <c r="Q90" s="19">
        <v>-2.9761999999999898E-4</v>
      </c>
      <c r="R90" s="20">
        <v>0</v>
      </c>
      <c r="S90" s="19">
        <v>7.6779000000000101E-3</v>
      </c>
      <c r="T90" s="19">
        <v>3.46414000000001E-2</v>
      </c>
      <c r="U90" s="34">
        <v>0</v>
      </c>
      <c r="V90" s="34">
        <v>0</v>
      </c>
      <c r="W90" s="34">
        <v>0</v>
      </c>
      <c r="X90" s="34">
        <v>0</v>
      </c>
      <c r="Y90" s="34">
        <v>0</v>
      </c>
      <c r="Z90" s="22">
        <v>1772</v>
      </c>
      <c r="AA90" s="22">
        <v>1556</v>
      </c>
      <c r="AB90" s="22">
        <v>1559</v>
      </c>
      <c r="AC90" s="22">
        <v>1509</v>
      </c>
      <c r="AD90" s="22">
        <v>1335</v>
      </c>
      <c r="AE90" s="23">
        <v>7234000</v>
      </c>
      <c r="AF90" s="23">
        <v>6087000</v>
      </c>
      <c r="AG90" s="23">
        <v>5733000</v>
      </c>
      <c r="AH90" s="23">
        <v>6841000</v>
      </c>
      <c r="AI90" s="23">
        <v>6040000</v>
      </c>
      <c r="AJ90" s="22">
        <v>2.9119435996682332</v>
      </c>
      <c r="AK90" s="22">
        <v>1.8258583867258091</v>
      </c>
      <c r="AL90" s="22">
        <v>2.8716204430490144</v>
      </c>
      <c r="AM90" s="22">
        <v>2.5776933196901037</v>
      </c>
      <c r="AN90" s="22">
        <v>3.7761589403973508</v>
      </c>
      <c r="AO90" s="24">
        <f t="array" ref="AO90">('1100'!G90) / 100</f>
        <v>0.18609999999999999</v>
      </c>
      <c r="AP90" s="24">
        <f t="array" ref="AP90">('1100'!H90) / 100</f>
        <v>0.20319999999999999</v>
      </c>
      <c r="AQ90" s="24">
        <f t="array" ref="AQ90">('1100'!I90) / 100</f>
        <v>0.2414</v>
      </c>
      <c r="AR90" s="24">
        <f t="array" ref="AR90">('1100'!J90) / 100</f>
        <v>0.31579999999999997</v>
      </c>
      <c r="AS90" s="24">
        <f t="array" ref="AS90">('1100'!K90) / 100</f>
        <v>0.31850000000000001</v>
      </c>
      <c r="AT90" s="25">
        <f t="array" ref="AT90">('1100'!A90) / 100</f>
        <v>0.45700000000000002</v>
      </c>
      <c r="AU90" s="25">
        <f t="array" ref="AU90">('1100'!B90) / 100</f>
        <v>0.505</v>
      </c>
      <c r="AV90" s="25">
        <f t="array" ref="AV90">('1100'!C90) / 100</f>
        <v>0.47700000000000004</v>
      </c>
      <c r="AW90" s="25">
        <f t="array" ref="AW90">('1100'!D90) / 100</f>
        <v>0.41799999999999998</v>
      </c>
      <c r="AX90" s="25">
        <f t="array" ref="AX90">('1100'!E90) / 100</f>
        <v>0.371</v>
      </c>
      <c r="AY90" s="23">
        <v>22132000</v>
      </c>
      <c r="AZ90" s="23">
        <v>18825000</v>
      </c>
      <c r="BA90" s="23">
        <v>15561000</v>
      </c>
      <c r="BB90" s="23">
        <v>15662000</v>
      </c>
      <c r="BC90" s="23">
        <v>14316000</v>
      </c>
      <c r="BD90" s="22">
        <v>9642000</v>
      </c>
      <c r="BE90" s="22">
        <v>7007000</v>
      </c>
      <c r="BF90" s="22">
        <v>6288000</v>
      </c>
      <c r="BG90" s="22">
        <v>5873000</v>
      </c>
      <c r="BH90" s="22">
        <v>6678000</v>
      </c>
      <c r="BI90" s="23">
        <v>74027000</v>
      </c>
      <c r="BJ90" s="23">
        <v>52496000</v>
      </c>
      <c r="BK90" s="23">
        <v>48661000</v>
      </c>
      <c r="BL90" s="23">
        <v>48283000</v>
      </c>
      <c r="BM90" s="23">
        <v>45658000</v>
      </c>
      <c r="BN90" s="22">
        <v>33867000</v>
      </c>
      <c r="BO90" s="22">
        <v>26525000</v>
      </c>
      <c r="BP90" s="22">
        <v>23203000</v>
      </c>
      <c r="BQ90" s="22">
        <v>20206000</v>
      </c>
      <c r="BR90" s="22">
        <v>16930000</v>
      </c>
    </row>
    <row r="91" spans="1:70" ht="15" x14ac:dyDescent="0.2">
      <c r="A91" s="13" t="s">
        <v>286</v>
      </c>
      <c r="B91" s="14">
        <v>5564108917</v>
      </c>
      <c r="C91" s="14" t="s">
        <v>287</v>
      </c>
      <c r="D91" s="14" t="s">
        <v>67</v>
      </c>
      <c r="E91" s="15" t="s">
        <v>68</v>
      </c>
      <c r="F91" s="16">
        <v>0.08</v>
      </c>
      <c r="G91" s="16">
        <v>0.08</v>
      </c>
      <c r="H91" s="16">
        <v>7.0000000000000007E-2</v>
      </c>
      <c r="I91" s="16">
        <v>0.09</v>
      </c>
      <c r="J91" s="16">
        <v>0.11</v>
      </c>
      <c r="K91" s="18">
        <v>8.5000000000000006E-2</v>
      </c>
      <c r="L91" s="18">
        <v>8.4000000000000005E-2</v>
      </c>
      <c r="M91" s="18">
        <v>2.1999999999999999E-2</v>
      </c>
      <c r="N91" s="18">
        <v>5.0000000000000001E-3</v>
      </c>
      <c r="O91" s="18">
        <v>1.7999999999999999E-2</v>
      </c>
      <c r="P91" s="19">
        <v>-2.5500000000000201E-3</v>
      </c>
      <c r="Q91" s="19">
        <v>-2.9761999999999898E-4</v>
      </c>
      <c r="R91" s="20">
        <v>0</v>
      </c>
      <c r="S91" s="19">
        <v>7.6779000000000101E-3</v>
      </c>
      <c r="T91" s="19">
        <v>3.46414000000001E-2</v>
      </c>
      <c r="U91" s="34">
        <v>0</v>
      </c>
      <c r="V91" s="34">
        <v>0</v>
      </c>
      <c r="W91" s="34">
        <v>0</v>
      </c>
      <c r="X91" s="34">
        <v>0</v>
      </c>
      <c r="Y91" s="21">
        <f>465*1000</f>
        <v>465000</v>
      </c>
      <c r="Z91" s="22">
        <v>4120</v>
      </c>
      <c r="AA91" s="22">
        <v>4111</v>
      </c>
      <c r="AB91" s="22">
        <v>4144</v>
      </c>
      <c r="AC91" s="22">
        <v>4295</v>
      </c>
      <c r="AD91" s="22">
        <v>4695</v>
      </c>
      <c r="AE91" s="23">
        <v>11617000</v>
      </c>
      <c r="AF91" s="23">
        <v>12772000</v>
      </c>
      <c r="AG91" s="23">
        <v>11802000</v>
      </c>
      <c r="AH91" s="23">
        <v>2998000</v>
      </c>
      <c r="AI91" s="23">
        <v>9247000</v>
      </c>
      <c r="AJ91" s="22">
        <v>2.8862012567788584</v>
      </c>
      <c r="AK91" s="22">
        <v>2.7340275602881303</v>
      </c>
      <c r="AL91" s="22">
        <v>2.9855109303507881</v>
      </c>
      <c r="AM91" s="22">
        <v>10.158438959306205</v>
      </c>
      <c r="AN91" s="22">
        <v>3.6654049962149888</v>
      </c>
      <c r="AO91" s="24">
        <f t="array" ref="AO91">('1100'!G91) / 100</f>
        <v>0.1938</v>
      </c>
      <c r="AP91" s="24">
        <f t="array" ref="AP91">('1100'!H91) / 100</f>
        <v>0.2359</v>
      </c>
      <c r="AQ91" s="24">
        <f t="array" ref="AQ91">('1100'!I91) / 100</f>
        <v>0.1794</v>
      </c>
      <c r="AR91" s="24">
        <f t="array" ref="AR91">('1100'!J91) / 100</f>
        <v>8.9999999999999998E-4</v>
      </c>
      <c r="AS91" s="24">
        <f t="array" ref="AS91">('1100'!K91) / 100</f>
        <v>0.1469</v>
      </c>
      <c r="AT91" s="25">
        <f t="array" ref="AT91">('1100'!A91) / 100</f>
        <v>0.34499999999999997</v>
      </c>
      <c r="AU91" s="25">
        <f t="array" ref="AU91">('1100'!B91) / 100</f>
        <v>0.35</v>
      </c>
      <c r="AV91" s="25">
        <f t="array" ref="AV91">('1100'!C91) / 100</f>
        <v>0.41899999999999998</v>
      </c>
      <c r="AW91" s="25">
        <f t="array" ref="AW91">('1100'!D91) / 100</f>
        <v>0.47899999999999998</v>
      </c>
      <c r="AX91" s="25">
        <f t="array" ref="AX91">('1100'!E91) / 100</f>
        <v>0.436</v>
      </c>
      <c r="AY91" s="23">
        <v>29486000</v>
      </c>
      <c r="AZ91" s="23">
        <v>30057000</v>
      </c>
      <c r="BA91" s="23">
        <v>27231000</v>
      </c>
      <c r="BB91" s="23">
        <v>29215000</v>
      </c>
      <c r="BC91" s="23">
        <v>27956000</v>
      </c>
      <c r="BD91" s="22">
        <v>29898000</v>
      </c>
      <c r="BE91" s="22">
        <v>29905000</v>
      </c>
      <c r="BF91" s="22">
        <v>29695000</v>
      </c>
      <c r="BG91" s="22">
        <v>29651000</v>
      </c>
      <c r="BH91" s="22">
        <v>29744000</v>
      </c>
      <c r="BI91" s="23">
        <v>66059000</v>
      </c>
      <c r="BJ91" s="23">
        <v>67656000</v>
      </c>
      <c r="BK91" s="23">
        <v>74251000</v>
      </c>
      <c r="BL91" s="23">
        <v>75411000</v>
      </c>
      <c r="BM91" s="23">
        <v>79784000</v>
      </c>
      <c r="BN91" s="22">
        <v>22779000</v>
      </c>
      <c r="BO91" s="22">
        <v>23683000</v>
      </c>
      <c r="BP91" s="22">
        <v>31142000</v>
      </c>
      <c r="BQ91" s="22">
        <v>32751000</v>
      </c>
      <c r="BR91" s="22">
        <v>34805000</v>
      </c>
    </row>
    <row r="92" spans="1:70" ht="14" x14ac:dyDescent="0.2">
      <c r="A92" s="13" t="s">
        <v>288</v>
      </c>
      <c r="B92" s="14">
        <v>5560160680</v>
      </c>
      <c r="C92" s="14" t="s">
        <v>289</v>
      </c>
      <c r="D92" s="14" t="s">
        <v>67</v>
      </c>
      <c r="E92" s="15" t="s">
        <v>68</v>
      </c>
      <c r="F92" s="16">
        <v>0.1143</v>
      </c>
      <c r="G92" s="16">
        <v>0.105</v>
      </c>
      <c r="H92" s="16">
        <v>9.1399999999999995E-2</v>
      </c>
      <c r="I92" s="16">
        <v>8.6699999999999999E-2</v>
      </c>
      <c r="J92" s="37" t="s">
        <v>290</v>
      </c>
      <c r="K92" s="18">
        <v>8.5000000000000006E-2</v>
      </c>
      <c r="L92" s="18">
        <v>8.4000000000000005E-2</v>
      </c>
      <c r="M92" s="18">
        <v>2.1999999999999999E-2</v>
      </c>
      <c r="N92" s="18">
        <v>5.0000000000000001E-3</v>
      </c>
      <c r="O92" s="18">
        <v>1.7999999999999999E-2</v>
      </c>
      <c r="P92" s="19">
        <v>-2.5500000000000201E-3</v>
      </c>
      <c r="Q92" s="19">
        <v>-2.9761999999999898E-4</v>
      </c>
      <c r="R92" s="20">
        <v>0</v>
      </c>
      <c r="S92" s="19">
        <v>7.6779000000000101E-3</v>
      </c>
      <c r="T92" s="19">
        <v>3.46414000000001E-2</v>
      </c>
      <c r="U92" s="21">
        <f>31897*1000</f>
        <v>31897000</v>
      </c>
      <c r="V92" s="21">
        <v>0</v>
      </c>
      <c r="W92" s="21">
        <f>112*1000</f>
        <v>112000</v>
      </c>
      <c r="X92" s="21">
        <v>0</v>
      </c>
      <c r="Y92" s="21">
        <v>0</v>
      </c>
      <c r="Z92" s="22">
        <v>101644</v>
      </c>
      <c r="AA92" s="22">
        <v>101741</v>
      </c>
      <c r="AB92" s="22">
        <v>100757</v>
      </c>
      <c r="AC92" s="22">
        <v>98589</v>
      </c>
      <c r="AD92" s="22">
        <v>94503</v>
      </c>
      <c r="AE92" s="27">
        <v>-10306000</v>
      </c>
      <c r="AF92" s="23">
        <v>37162000</v>
      </c>
      <c r="AG92" s="23">
        <v>37961000</v>
      </c>
      <c r="AH92" s="23">
        <v>35786000</v>
      </c>
      <c r="AI92" s="23">
        <v>16689000</v>
      </c>
      <c r="AJ92" s="28">
        <v>-6.3363089462449063</v>
      </c>
      <c r="AK92" s="22">
        <v>1.7936063721005329</v>
      </c>
      <c r="AL92" s="22">
        <v>1.7871236268802191</v>
      </c>
      <c r="AM92" s="22">
        <v>2.0128821326775834</v>
      </c>
      <c r="AN92" s="22">
        <v>4.6549224039786683</v>
      </c>
      <c r="AO92" s="24">
        <f t="array" ref="AO92">('1100'!G92) / 100</f>
        <v>-6.9000000000000006E-2</v>
      </c>
      <c r="AP92" s="24">
        <f t="array" ref="AP92">('1100'!H92) / 100</f>
        <v>0.1043</v>
      </c>
      <c r="AQ92" s="24">
        <f t="array" ref="AQ92">('1100'!I92) / 100</f>
        <v>0.1401</v>
      </c>
      <c r="AR92" s="24">
        <f t="array" ref="AR92">('1100'!J92) / 100</f>
        <v>0.12670000000000001</v>
      </c>
      <c r="AS92" s="24">
        <f t="array" ref="AS92">('1100'!K92) / 100</f>
        <v>4.6500000000000007E-2</v>
      </c>
      <c r="AT92" s="25">
        <f t="array" ref="AT92">('1100'!A92) / 100</f>
        <v>0.33200000000000002</v>
      </c>
      <c r="AU92" s="25">
        <f t="array" ref="AU92">('1100'!B92) / 100</f>
        <v>0.38600000000000001</v>
      </c>
      <c r="AV92" s="25">
        <f t="array" ref="AV92">('1100'!C92) / 100</f>
        <v>0.35600000000000004</v>
      </c>
      <c r="AW92" s="25">
        <f t="array" ref="AW92">('1100'!D92) / 100</f>
        <v>0.31900000000000001</v>
      </c>
      <c r="AX92" s="25">
        <f t="array" ref="AX92">('1100'!E92) / 100</f>
        <v>0.29899999999999999</v>
      </c>
      <c r="AY92" s="23">
        <v>264469000</v>
      </c>
      <c r="AZ92" s="23">
        <v>272794000</v>
      </c>
      <c r="BA92" s="23">
        <v>233840000</v>
      </c>
      <c r="BB92" s="23">
        <v>233669000</v>
      </c>
      <c r="BC92" s="23">
        <v>230303000</v>
      </c>
      <c r="BD92" s="22">
        <v>52944000</v>
      </c>
      <c r="BE92" s="22">
        <v>84570000</v>
      </c>
      <c r="BF92" s="22">
        <v>38204000</v>
      </c>
      <c r="BG92" s="22">
        <v>34945000</v>
      </c>
      <c r="BH92" s="22">
        <v>31200000</v>
      </c>
      <c r="BI92" s="23">
        <v>297036000</v>
      </c>
      <c r="BJ92" s="23">
        <v>349537000</v>
      </c>
      <c r="BK92" s="23">
        <v>305614000</v>
      </c>
      <c r="BL92" s="23">
        <v>271530000</v>
      </c>
      <c r="BM92" s="23">
        <v>276383000</v>
      </c>
      <c r="BN92" s="22">
        <v>98673000</v>
      </c>
      <c r="BO92" s="22">
        <v>134814000</v>
      </c>
      <c r="BP92" s="22">
        <v>108775000</v>
      </c>
      <c r="BQ92" s="22">
        <v>86674000</v>
      </c>
      <c r="BR92" s="22">
        <v>82559000</v>
      </c>
    </row>
    <row r="93" spans="1:70" ht="14" x14ac:dyDescent="0.2">
      <c r="A93" s="13" t="s">
        <v>291</v>
      </c>
      <c r="B93" s="14">
        <v>5561034249</v>
      </c>
      <c r="C93" s="14" t="s">
        <v>292</v>
      </c>
      <c r="D93" s="14" t="s">
        <v>67</v>
      </c>
      <c r="E93" s="15" t="s">
        <v>68</v>
      </c>
      <c r="F93" s="16">
        <v>6.0600000000000001E-2</v>
      </c>
      <c r="G93" s="16">
        <v>6.6500000000000004E-2</v>
      </c>
      <c r="H93" s="16">
        <v>5.0999999999999997E-2</v>
      </c>
      <c r="I93" s="16">
        <v>5.1799999999999999E-2</v>
      </c>
      <c r="J93" s="16">
        <v>4.7300000000000002E-2</v>
      </c>
      <c r="K93" s="18">
        <v>8.5000000000000006E-2</v>
      </c>
      <c r="L93" s="18">
        <v>8.4000000000000005E-2</v>
      </c>
      <c r="M93" s="18">
        <v>2.1999999999999999E-2</v>
      </c>
      <c r="N93" s="18">
        <v>5.0000000000000001E-3</v>
      </c>
      <c r="O93" s="18">
        <v>1.7999999999999999E-2</v>
      </c>
      <c r="P93" s="19">
        <v>-2.5500000000000201E-3</v>
      </c>
      <c r="Q93" s="19">
        <v>-2.9761999999999898E-4</v>
      </c>
      <c r="R93" s="20">
        <v>0</v>
      </c>
      <c r="S93" s="19">
        <v>7.6779000000000101E-3</v>
      </c>
      <c r="T93" s="19">
        <v>3.46414000000001E-2</v>
      </c>
      <c r="U93" s="21">
        <f>3700*1000</f>
        <v>3700000</v>
      </c>
      <c r="V93" s="21">
        <f>19100*1000</f>
        <v>19100000</v>
      </c>
      <c r="W93" s="21">
        <v>0</v>
      </c>
      <c r="X93" s="21">
        <f>7835*1000</f>
        <v>7835000</v>
      </c>
      <c r="Y93" s="21">
        <v>0</v>
      </c>
      <c r="Z93" s="22">
        <v>18963</v>
      </c>
      <c r="AA93" s="22">
        <v>19202</v>
      </c>
      <c r="AB93" s="22">
        <v>19998</v>
      </c>
      <c r="AC93" s="22">
        <v>20505</v>
      </c>
      <c r="AD93" s="22">
        <v>20215</v>
      </c>
      <c r="AE93" s="23">
        <v>28497000</v>
      </c>
      <c r="AF93" s="23">
        <v>29519000</v>
      </c>
      <c r="AG93" s="23">
        <v>35269000</v>
      </c>
      <c r="AH93" s="23">
        <v>10114000</v>
      </c>
      <c r="AI93" s="23">
        <v>16770000</v>
      </c>
      <c r="AJ93" s="22">
        <v>3.9988068919535391</v>
      </c>
      <c r="AK93" s="22">
        <v>3.7637115078424066</v>
      </c>
      <c r="AL93" s="22">
        <v>2.9412798775128302</v>
      </c>
      <c r="AM93" s="22">
        <v>10.72018983587107</v>
      </c>
      <c r="AN93" s="22">
        <v>7.2349433512224213</v>
      </c>
      <c r="AO93" s="24">
        <f t="array" ref="AO93">('1100'!G93) / 100</f>
        <v>6.9199999999999998E-2</v>
      </c>
      <c r="AP93" s="24">
        <f t="array" ref="AP93">('1100'!H93) / 100</f>
        <v>-9.8400000000000001E-2</v>
      </c>
      <c r="AQ93" s="24">
        <f t="array" ref="AQ93">('1100'!I93) / 100</f>
        <v>0.17699999999999999</v>
      </c>
      <c r="AR93" s="24">
        <f t="array" ref="AR93">('1100'!J93) / 100</f>
        <v>-0.19469999999999998</v>
      </c>
      <c r="AS93" s="24">
        <f t="array" ref="AS93">('1100'!K93) / 100</f>
        <v>0.14859999999999998</v>
      </c>
      <c r="AT93" s="25">
        <f t="array" ref="AT93">('1100'!A93) / 100</f>
        <v>0.23600000000000002</v>
      </c>
      <c r="AU93" s="25">
        <f t="array" ref="AU93">('1100'!B93) / 100</f>
        <v>0.28800000000000003</v>
      </c>
      <c r="AV93" s="25">
        <f t="array" ref="AV93">('1100'!C93) / 100</f>
        <v>0.34100000000000003</v>
      </c>
      <c r="AW93" s="25">
        <f t="array" ref="AW93">('1100'!D93) / 100</f>
        <v>0.27699999999999997</v>
      </c>
      <c r="AX93" s="25">
        <f t="array" ref="AX93">('1100'!E93) / 100</f>
        <v>0.34499999999999997</v>
      </c>
      <c r="AY93" s="23">
        <v>89643000</v>
      </c>
      <c r="AZ93" s="23">
        <v>92001000</v>
      </c>
      <c r="BA93" s="23">
        <v>95918000</v>
      </c>
      <c r="BB93" s="23">
        <v>90271000</v>
      </c>
      <c r="BC93" s="23">
        <v>87670000</v>
      </c>
      <c r="BD93" s="22">
        <v>43777000</v>
      </c>
      <c r="BE93" s="22">
        <v>50583000</v>
      </c>
      <c r="BF93" s="22">
        <v>66302000</v>
      </c>
      <c r="BG93" s="22">
        <v>63313000</v>
      </c>
      <c r="BH93" s="22">
        <v>75696000</v>
      </c>
      <c r="BI93" s="23">
        <v>226468000</v>
      </c>
      <c r="BJ93" s="23">
        <v>222793000</v>
      </c>
      <c r="BK93" s="23">
        <v>237025000</v>
      </c>
      <c r="BL93" s="23">
        <v>226683000</v>
      </c>
      <c r="BM93" s="23">
        <v>264072000</v>
      </c>
      <c r="BN93" s="22">
        <v>53466000</v>
      </c>
      <c r="BO93" s="22">
        <v>64239000</v>
      </c>
      <c r="BP93" s="22">
        <v>80732000</v>
      </c>
      <c r="BQ93" s="22">
        <v>62836000</v>
      </c>
      <c r="BR93" s="22">
        <v>91046000</v>
      </c>
    </row>
    <row r="94" spans="1:70" ht="15" x14ac:dyDescent="0.2">
      <c r="A94" s="13" t="s">
        <v>293</v>
      </c>
      <c r="B94" s="14">
        <v>5567706311</v>
      </c>
      <c r="C94" s="14" t="s">
        <v>294</v>
      </c>
      <c r="D94" s="14" t="s">
        <v>67</v>
      </c>
      <c r="E94" s="15" t="s">
        <v>79</v>
      </c>
      <c r="F94" s="16">
        <v>9.9000000000000005E-2</v>
      </c>
      <c r="G94" s="16">
        <v>8.8999999999999996E-2</v>
      </c>
      <c r="H94" s="16">
        <v>8.3000000000000004E-2</v>
      </c>
      <c r="I94" s="16">
        <v>9.8000000000000004E-2</v>
      </c>
      <c r="J94" s="16">
        <v>9.6000000000000002E-2</v>
      </c>
      <c r="K94" s="18">
        <v>8.5000000000000006E-2</v>
      </c>
      <c r="L94" s="18">
        <v>8.4000000000000005E-2</v>
      </c>
      <c r="M94" s="18">
        <v>2.1999999999999999E-2</v>
      </c>
      <c r="N94" s="18">
        <v>5.0000000000000001E-3</v>
      </c>
      <c r="O94" s="18">
        <v>1.7999999999999999E-2</v>
      </c>
      <c r="P94" s="19">
        <v>-2.5500000000000201E-3</v>
      </c>
      <c r="Q94" s="19">
        <v>-2.9761999999999898E-4</v>
      </c>
      <c r="R94" s="20">
        <v>0</v>
      </c>
      <c r="S94" s="19">
        <v>7.6779000000000101E-3</v>
      </c>
      <c r="T94" s="19">
        <v>3.46414000000001E-2</v>
      </c>
      <c r="U94" s="34">
        <v>0</v>
      </c>
      <c r="V94" s="34">
        <v>0</v>
      </c>
      <c r="W94" s="34">
        <v>0</v>
      </c>
      <c r="X94" s="34">
        <v>0</v>
      </c>
      <c r="Y94" s="34">
        <v>0</v>
      </c>
      <c r="Z94" s="22">
        <v>2559</v>
      </c>
      <c r="AA94" s="22">
        <v>2799</v>
      </c>
      <c r="AB94" s="22">
        <v>3303</v>
      </c>
      <c r="AC94" s="22">
        <v>2669</v>
      </c>
      <c r="AD94" s="22">
        <v>2422</v>
      </c>
      <c r="AE94" s="23">
        <v>1511000</v>
      </c>
      <c r="AF94" s="23">
        <v>1712000</v>
      </c>
      <c r="AG94" s="23">
        <v>2436000</v>
      </c>
      <c r="AH94" s="23">
        <v>1736000</v>
      </c>
      <c r="AI94" s="23">
        <v>1335000</v>
      </c>
      <c r="AJ94" s="22">
        <v>1.7485109199205824</v>
      </c>
      <c r="AK94" s="22">
        <v>2.0636682242990654</v>
      </c>
      <c r="AL94" s="22">
        <v>0.89244663382594414</v>
      </c>
      <c r="AM94" s="22">
        <v>0.78859447004608296</v>
      </c>
      <c r="AN94" s="22">
        <v>1.952808988764045</v>
      </c>
      <c r="AO94" s="24">
        <f t="array" ref="AO94">('1100'!G94) / 100</f>
        <v>0.17350000000000002</v>
      </c>
      <c r="AP94" s="24">
        <f t="array" ref="AP94">('1100'!H94) / 100</f>
        <v>0.1714</v>
      </c>
      <c r="AQ94" s="24">
        <f t="array" ref="AQ94">('1100'!I94) / 100</f>
        <v>0.22670000000000001</v>
      </c>
      <c r="AR94" s="24">
        <f t="array" ref="AR94">('1100'!J94) / 100</f>
        <v>0.2046</v>
      </c>
      <c r="AS94" s="24">
        <f t="array" ref="AS94">('1100'!K94) / 100</f>
        <v>0.17120000000000002</v>
      </c>
      <c r="AT94" s="25">
        <f t="array" ref="AT94">('1100'!A94) / 100</f>
        <v>0.625</v>
      </c>
      <c r="AU94" s="25">
        <f t="array" ref="AU94">('1100'!B94) / 100</f>
        <v>0.56100000000000005</v>
      </c>
      <c r="AV94" s="25">
        <f t="array" ref="AV94">('1100'!C94) / 100</f>
        <v>0.57100000000000006</v>
      </c>
      <c r="AW94" s="25">
        <f t="array" ref="AW94">('1100'!D94) / 100</f>
        <v>0.622</v>
      </c>
      <c r="AX94" s="25">
        <f t="array" ref="AX94">('1100'!E94) / 100</f>
        <v>0.52300000000000002</v>
      </c>
      <c r="AY94" s="23">
        <v>9132000</v>
      </c>
      <c r="AZ94" s="23">
        <v>10138000</v>
      </c>
      <c r="BA94" s="23">
        <v>10401000</v>
      </c>
      <c r="BB94" s="23">
        <v>7828000</v>
      </c>
      <c r="BC94" s="23">
        <v>7038000</v>
      </c>
      <c r="BD94" s="22">
        <v>4857000</v>
      </c>
      <c r="BE94" s="22">
        <v>4963000</v>
      </c>
      <c r="BF94" s="22">
        <v>4518000</v>
      </c>
      <c r="BG94" s="22">
        <v>4256000</v>
      </c>
      <c r="BH94" s="22">
        <v>4620000</v>
      </c>
      <c r="BI94" s="23">
        <v>10966000</v>
      </c>
      <c r="BJ94" s="23">
        <v>11679000</v>
      </c>
      <c r="BK94" s="23">
        <v>10192000</v>
      </c>
      <c r="BL94" s="23">
        <v>8448000</v>
      </c>
      <c r="BM94" s="23">
        <v>8285000</v>
      </c>
      <c r="BN94" s="22">
        <v>6849000</v>
      </c>
      <c r="BO94" s="22">
        <v>6553000</v>
      </c>
      <c r="BP94" s="22">
        <v>5815000</v>
      </c>
      <c r="BQ94" s="22">
        <v>5253000</v>
      </c>
      <c r="BR94" s="22">
        <v>4330000</v>
      </c>
    </row>
    <row r="95" spans="1:70" ht="14" x14ac:dyDescent="0.2">
      <c r="A95" s="13" t="s">
        <v>295</v>
      </c>
      <c r="B95" s="14">
        <v>5560063421</v>
      </c>
      <c r="C95" s="14" t="s">
        <v>296</v>
      </c>
      <c r="D95" s="14" t="s">
        <v>67</v>
      </c>
      <c r="E95" s="15" t="s">
        <v>68</v>
      </c>
      <c r="F95" s="16">
        <v>8.6999999999999994E-2</v>
      </c>
      <c r="G95" s="16">
        <v>8.6999999999999994E-2</v>
      </c>
      <c r="H95" s="16">
        <v>7.6999999999999999E-2</v>
      </c>
      <c r="I95" s="16">
        <v>7.6999999999999999E-2</v>
      </c>
      <c r="J95" s="16">
        <v>7.6999999999999999E-2</v>
      </c>
      <c r="K95" s="18">
        <v>8.5000000000000006E-2</v>
      </c>
      <c r="L95" s="18">
        <v>8.4000000000000005E-2</v>
      </c>
      <c r="M95" s="18">
        <v>2.1999999999999999E-2</v>
      </c>
      <c r="N95" s="18">
        <v>5.0000000000000001E-3</v>
      </c>
      <c r="O95" s="18">
        <v>1.7999999999999999E-2</v>
      </c>
      <c r="P95" s="19">
        <v>-2.5500000000000201E-3</v>
      </c>
      <c r="Q95" s="19">
        <v>-2.9761999999999898E-4</v>
      </c>
      <c r="R95" s="20">
        <v>0</v>
      </c>
      <c r="S95" s="19">
        <v>7.6779000000000101E-3</v>
      </c>
      <c r="T95" s="19">
        <v>3.46414000000001E-2</v>
      </c>
      <c r="U95" s="21">
        <v>0</v>
      </c>
      <c r="V95" s="21">
        <v>0</v>
      </c>
      <c r="W95" s="21">
        <f>12*1000</f>
        <v>12000</v>
      </c>
      <c r="X95" s="21">
        <f>3*1000</f>
        <v>3000</v>
      </c>
      <c r="Y95" s="21">
        <f>2327*1000</f>
        <v>2327000</v>
      </c>
      <c r="Z95" s="22">
        <v>15502</v>
      </c>
      <c r="AA95" s="22">
        <v>20973</v>
      </c>
      <c r="AB95" s="22">
        <v>19793</v>
      </c>
      <c r="AC95" s="22">
        <v>21470</v>
      </c>
      <c r="AD95" s="22">
        <v>22952</v>
      </c>
      <c r="AE95" s="23">
        <v>6732000</v>
      </c>
      <c r="AF95" s="23">
        <v>5876000</v>
      </c>
      <c r="AG95" s="23">
        <v>5957000</v>
      </c>
      <c r="AH95" s="23">
        <v>5752000</v>
      </c>
      <c r="AI95" s="23">
        <v>2116000</v>
      </c>
      <c r="AJ95" s="22">
        <v>1.3548722519310754</v>
      </c>
      <c r="AK95" s="22">
        <v>1.81501021102791</v>
      </c>
      <c r="AL95" s="22">
        <v>1.925633708242404</v>
      </c>
      <c r="AM95" s="22">
        <v>2.1745479833101529</v>
      </c>
      <c r="AN95" s="22">
        <v>8.7778827977315697</v>
      </c>
      <c r="AO95" s="24">
        <f t="array" ref="AO95">('1100'!G95) / 100</f>
        <v>0.16159999999999999</v>
      </c>
      <c r="AP95" s="24">
        <f t="array" ref="AP95">('1100'!H95) / 100</f>
        <v>0.16690000000000002</v>
      </c>
      <c r="AQ95" s="24">
        <f t="array" ref="AQ95">('1100'!I95) / 100</f>
        <v>0.1517</v>
      </c>
      <c r="AR95" s="24">
        <f t="array" ref="AR95">('1100'!J95) / 100</f>
        <v>0.1225</v>
      </c>
      <c r="AS95" s="24">
        <f t="array" ref="AS95">('1100'!K95) / 100</f>
        <v>2.8399999999999998E-2</v>
      </c>
      <c r="AT95" s="25">
        <f t="array" ref="AT95">('1100'!A95) / 100</f>
        <v>0.70099999999999996</v>
      </c>
      <c r="AU95" s="25">
        <f t="array" ref="AU95">('1100'!B95) / 100</f>
        <v>0.48599999999999999</v>
      </c>
      <c r="AV95" s="25">
        <f t="array" ref="AV95">('1100'!C95) / 100</f>
        <v>0.59299999999999997</v>
      </c>
      <c r="AW95" s="25">
        <f t="array" ref="AW95">('1100'!D95) / 100</f>
        <v>0.53799999999999992</v>
      </c>
      <c r="AX95" s="25">
        <f t="array" ref="AX95">('1100'!E95) / 100</f>
        <v>0.51900000000000002</v>
      </c>
      <c r="AY95" s="23">
        <v>35078000</v>
      </c>
      <c r="AZ95" s="23">
        <v>30395000</v>
      </c>
      <c r="BA95" s="23">
        <v>34432000</v>
      </c>
      <c r="BB95" s="23">
        <v>33442000</v>
      </c>
      <c r="BC95" s="23">
        <v>37040000</v>
      </c>
      <c r="BD95" s="22">
        <v>20491000</v>
      </c>
      <c r="BE95" s="22">
        <v>20818000</v>
      </c>
      <c r="BF95" s="22">
        <v>18792000</v>
      </c>
      <c r="BG95" s="22">
        <v>17867000</v>
      </c>
      <c r="BH95" s="22">
        <v>19198000</v>
      </c>
      <c r="BI95" s="23">
        <v>59503000</v>
      </c>
      <c r="BJ95" s="23">
        <v>77066000</v>
      </c>
      <c r="BK95" s="23">
        <v>55640000</v>
      </c>
      <c r="BL95" s="23">
        <v>53764000</v>
      </c>
      <c r="BM95" s="23">
        <v>56341000</v>
      </c>
      <c r="BN95" s="22">
        <v>41722000</v>
      </c>
      <c r="BO95" s="22">
        <v>37482000</v>
      </c>
      <c r="BP95" s="22">
        <v>32990000</v>
      </c>
      <c r="BQ95" s="22">
        <v>28945000</v>
      </c>
      <c r="BR95" s="22">
        <v>29216000</v>
      </c>
    </row>
    <row r="96" spans="1:70" ht="14" x14ac:dyDescent="0.2">
      <c r="A96" s="35" t="s">
        <v>297</v>
      </c>
      <c r="B96" s="31">
        <v>5569164030</v>
      </c>
      <c r="C96" s="31" t="s">
        <v>298</v>
      </c>
      <c r="D96" s="14" t="s">
        <v>67</v>
      </c>
      <c r="E96" s="15" t="s">
        <v>68</v>
      </c>
      <c r="F96" s="32">
        <f t="shared" ref="F96:J96" si="12">0.085</f>
        <v>8.5000000000000006E-2</v>
      </c>
      <c r="G96" s="32">
        <f t="shared" si="12"/>
        <v>8.5000000000000006E-2</v>
      </c>
      <c r="H96" s="32">
        <f t="shared" si="12"/>
        <v>8.5000000000000006E-2</v>
      </c>
      <c r="I96" s="32">
        <f t="shared" si="12"/>
        <v>8.5000000000000006E-2</v>
      </c>
      <c r="J96" s="32">
        <f t="shared" si="12"/>
        <v>8.5000000000000006E-2</v>
      </c>
      <c r="K96" s="18">
        <v>8.5000000000000006E-2</v>
      </c>
      <c r="L96" s="18">
        <v>8.4000000000000005E-2</v>
      </c>
      <c r="M96" s="18">
        <v>2.1999999999999999E-2</v>
      </c>
      <c r="N96" s="18">
        <v>5.0000000000000001E-3</v>
      </c>
      <c r="O96" s="18">
        <v>1.7999999999999999E-2</v>
      </c>
      <c r="P96" s="19">
        <v>-2.5500000000000201E-3</v>
      </c>
      <c r="Q96" s="19">
        <v>-2.9761999999999898E-4</v>
      </c>
      <c r="R96" s="20">
        <v>0</v>
      </c>
      <c r="S96" s="19">
        <v>7.6779000000000101E-3</v>
      </c>
      <c r="T96" s="19">
        <v>3.46414000000001E-2</v>
      </c>
      <c r="U96" s="38">
        <v>0</v>
      </c>
      <c r="V96" s="38">
        <v>0</v>
      </c>
      <c r="W96" s="38">
        <v>0</v>
      </c>
      <c r="X96" s="38">
        <v>0</v>
      </c>
      <c r="Y96" s="38">
        <v>0</v>
      </c>
      <c r="Z96" s="22">
        <v>1141</v>
      </c>
      <c r="AA96" s="22">
        <v>1144</v>
      </c>
      <c r="AB96" s="22">
        <v>1104</v>
      </c>
      <c r="AC96" s="22">
        <v>803</v>
      </c>
      <c r="AD96" s="22">
        <v>720</v>
      </c>
      <c r="AE96" s="23" t="s">
        <v>299</v>
      </c>
      <c r="AF96" s="23" t="s">
        <v>300</v>
      </c>
      <c r="AG96" s="23" t="s">
        <v>301</v>
      </c>
      <c r="AH96" s="23" t="s">
        <v>302</v>
      </c>
      <c r="AI96" s="23" t="s">
        <v>303</v>
      </c>
      <c r="AJ96" s="22">
        <v>1.542</v>
      </c>
      <c r="AK96" s="22">
        <v>1.3360000000000001</v>
      </c>
      <c r="AL96" s="22">
        <v>1.4630000000000001</v>
      </c>
      <c r="AM96" s="22">
        <v>2.214</v>
      </c>
      <c r="AN96" s="22">
        <v>2.1469999999999998</v>
      </c>
      <c r="AO96" s="24">
        <f t="array" ref="AO96">('1100'!G96) / 100</f>
        <v>0.18870000000000001</v>
      </c>
      <c r="AP96" s="24">
        <f t="array" ref="AP96">('1100'!H96) / 100</f>
        <v>0.1744</v>
      </c>
      <c r="AQ96" s="24">
        <f t="array" ref="AQ96">('1100'!I96) / 100</f>
        <v>0.20780000000000001</v>
      </c>
      <c r="AR96" s="24">
        <f t="array" ref="AR96">('1100'!J96) / 100</f>
        <v>0.1885</v>
      </c>
      <c r="AS96" s="24">
        <f t="array" ref="AS96">('1100'!K96) / 100</f>
        <v>0.19620000000000001</v>
      </c>
      <c r="AT96" s="25">
        <f t="array" ref="AT96">('1100'!A96) / 100</f>
        <v>0.52600000000000002</v>
      </c>
      <c r="AU96" s="25">
        <f t="array" ref="AU96">('1100'!B96) / 100</f>
        <v>0.53200000000000003</v>
      </c>
      <c r="AV96" s="25">
        <f t="array" ref="AV96">('1100'!C96) / 100</f>
        <v>0.48899999999999999</v>
      </c>
      <c r="AW96" s="25">
        <f t="array" ref="AW96">('1100'!D96) / 100</f>
        <v>0.46500000000000002</v>
      </c>
      <c r="AX96" s="25">
        <f t="array" ref="AX96">('1100'!E96) / 100</f>
        <v>0.434</v>
      </c>
      <c r="AY96" s="23">
        <v>2943724</v>
      </c>
      <c r="AZ96" s="23">
        <v>3176208</v>
      </c>
      <c r="BA96" s="23">
        <v>2592106</v>
      </c>
      <c r="BB96" s="23">
        <v>1660837</v>
      </c>
      <c r="BC96" s="23">
        <v>1755543</v>
      </c>
      <c r="BD96" s="22">
        <v>1149645</v>
      </c>
      <c r="BE96" s="22">
        <v>964838</v>
      </c>
      <c r="BF96" s="22">
        <v>903287</v>
      </c>
      <c r="BG96" s="22">
        <v>883179</v>
      </c>
      <c r="BH96" s="22">
        <v>862362</v>
      </c>
      <c r="BI96" s="23">
        <v>3632442</v>
      </c>
      <c r="BJ96" s="23">
        <v>3237300</v>
      </c>
      <c r="BK96" s="23">
        <v>2986148</v>
      </c>
      <c r="BL96" s="23">
        <v>2461835</v>
      </c>
      <c r="BM96" s="23">
        <v>2302757</v>
      </c>
      <c r="BN96" s="22">
        <v>1911674</v>
      </c>
      <c r="BO96" s="22">
        <v>1722489</v>
      </c>
      <c r="BP96" s="22">
        <v>1461283</v>
      </c>
      <c r="BQ96" s="22">
        <v>1144251</v>
      </c>
      <c r="BR96" s="22">
        <v>999999</v>
      </c>
    </row>
    <row r="97" spans="1:70" ht="15" x14ac:dyDescent="0.2">
      <c r="A97" s="13" t="s">
        <v>304</v>
      </c>
      <c r="B97" s="14">
        <v>5560690751</v>
      </c>
      <c r="C97" s="14" t="s">
        <v>305</v>
      </c>
      <c r="D97" s="14" t="s">
        <v>67</v>
      </c>
      <c r="E97" s="15" t="s">
        <v>68</v>
      </c>
      <c r="F97" s="16">
        <f>0.097</f>
        <v>9.7000000000000003E-2</v>
      </c>
      <c r="G97" s="16">
        <f t="shared" ref="G97:J97" si="13">0.08</f>
        <v>0.08</v>
      </c>
      <c r="H97" s="16">
        <f t="shared" si="13"/>
        <v>0.08</v>
      </c>
      <c r="I97" s="16">
        <f t="shared" si="13"/>
        <v>0.08</v>
      </c>
      <c r="J97" s="16">
        <f t="shared" si="13"/>
        <v>0.08</v>
      </c>
      <c r="K97" s="18">
        <v>8.5000000000000006E-2</v>
      </c>
      <c r="L97" s="18">
        <v>8.4000000000000005E-2</v>
      </c>
      <c r="M97" s="18">
        <v>2.1999999999999999E-2</v>
      </c>
      <c r="N97" s="18">
        <v>5.0000000000000001E-3</v>
      </c>
      <c r="O97" s="18">
        <v>1.7999999999999999E-2</v>
      </c>
      <c r="P97" s="19">
        <v>-2.5500000000000201E-3</v>
      </c>
      <c r="Q97" s="19">
        <v>-2.9761999999999898E-4</v>
      </c>
      <c r="R97" s="20">
        <v>0</v>
      </c>
      <c r="S97" s="19">
        <v>7.6779000000000101E-3</v>
      </c>
      <c r="T97" s="19">
        <v>3.46414000000001E-2</v>
      </c>
      <c r="U97" s="34">
        <v>0</v>
      </c>
      <c r="V97" s="34">
        <v>0</v>
      </c>
      <c r="W97" s="34">
        <v>0</v>
      </c>
      <c r="X97" s="34">
        <v>0</v>
      </c>
      <c r="Y97" s="34">
        <v>0</v>
      </c>
      <c r="Z97" s="22">
        <v>1864</v>
      </c>
      <c r="AA97" s="22">
        <v>1731</v>
      </c>
      <c r="AB97" s="22">
        <v>1600</v>
      </c>
      <c r="AC97" s="22">
        <v>1483</v>
      </c>
      <c r="AD97" s="22">
        <v>1596</v>
      </c>
      <c r="AE97" s="23">
        <v>953023</v>
      </c>
      <c r="AF97" s="23">
        <v>663554</v>
      </c>
      <c r="AG97" s="23">
        <v>562432</v>
      </c>
      <c r="AH97" s="23">
        <v>462532</v>
      </c>
      <c r="AI97" s="23">
        <v>547855</v>
      </c>
      <c r="AJ97" s="22">
        <v>1.4366096096316667</v>
      </c>
      <c r="AK97" s="22">
        <v>1.9176178577779652</v>
      </c>
      <c r="AL97" s="22">
        <v>1.5442364588074646</v>
      </c>
      <c r="AM97" s="22">
        <v>2.4986011778644506</v>
      </c>
      <c r="AN97" s="22">
        <v>1.996416935137947</v>
      </c>
      <c r="AO97" s="24">
        <f t="array" ref="AO97">('1100'!G97) / 100</f>
        <v>0.14980000000000002</v>
      </c>
      <c r="AP97" s="24">
        <f t="array" ref="AP97">('1100'!H97) / 100</f>
        <v>0.11699999999999999</v>
      </c>
      <c r="AQ97" s="24">
        <f t="array" ref="AQ97">('1100'!I97) / 100</f>
        <v>0.1275</v>
      </c>
      <c r="AR97" s="24">
        <f t="array" ref="AR97">('1100'!J97) / 100</f>
        <v>0.1143</v>
      </c>
      <c r="AS97" s="24">
        <f t="array" ref="AS97">('1100'!K97) / 100</f>
        <v>0.1177</v>
      </c>
      <c r="AT97" s="25">
        <f t="array" ref="AT97">('1100'!A97) / 100</f>
        <v>0.61399999999999999</v>
      </c>
      <c r="AU97" s="25">
        <f t="array" ref="AU97">('1100'!B97) / 100</f>
        <v>0.60799999999999998</v>
      </c>
      <c r="AV97" s="25">
        <f t="array" ref="AV97">('1100'!C97) / 100</f>
        <v>0.58700000000000008</v>
      </c>
      <c r="AW97" s="25">
        <f t="array" ref="AW97">('1100'!D97) / 100</f>
        <v>0.58700000000000008</v>
      </c>
      <c r="AX97" s="25">
        <f t="array" ref="AX97">('1100'!E97) / 100</f>
        <v>0.57799999999999996</v>
      </c>
      <c r="AY97" s="23">
        <v>5762035</v>
      </c>
      <c r="AZ97" s="23">
        <v>4654717</v>
      </c>
      <c r="BA97" s="23">
        <v>3620762</v>
      </c>
      <c r="BB97" s="23">
        <v>3155054</v>
      </c>
      <c r="BC97" s="23">
        <v>3734149</v>
      </c>
      <c r="BD97" s="22">
        <v>1291286</v>
      </c>
      <c r="BE97" s="22">
        <v>1226799</v>
      </c>
      <c r="BF97" s="22">
        <v>1169824</v>
      </c>
      <c r="BG97" s="22">
        <v>1102101</v>
      </c>
      <c r="BH97" s="22">
        <v>1143333</v>
      </c>
      <c r="BI97" s="23">
        <v>5984967</v>
      </c>
      <c r="BJ97" s="23">
        <v>5412016</v>
      </c>
      <c r="BK97" s="23">
        <v>4663542</v>
      </c>
      <c r="BL97" s="23">
        <v>4257250</v>
      </c>
      <c r="BM97" s="23">
        <v>4198643</v>
      </c>
      <c r="BN97" s="22">
        <v>3674079</v>
      </c>
      <c r="BO97" s="22">
        <v>3288280</v>
      </c>
      <c r="BP97" s="22">
        <v>4664542</v>
      </c>
      <c r="BQ97" s="22">
        <v>2500181</v>
      </c>
      <c r="BR97" s="22">
        <v>2427667</v>
      </c>
    </row>
    <row r="98" spans="1:70" ht="14" x14ac:dyDescent="0.2">
      <c r="A98" s="13" t="s">
        <v>306</v>
      </c>
      <c r="B98" s="14">
        <v>5591246847</v>
      </c>
      <c r="C98" s="14" t="s">
        <v>307</v>
      </c>
      <c r="D98" s="14" t="s">
        <v>67</v>
      </c>
      <c r="E98" s="15" t="s">
        <v>68</v>
      </c>
      <c r="F98" s="16">
        <f>0.153</f>
        <v>0.153</v>
      </c>
      <c r="G98" s="16">
        <v>0.115</v>
      </c>
      <c r="H98" s="16">
        <v>0.106</v>
      </c>
      <c r="I98" s="16">
        <v>9.2999999999999999E-2</v>
      </c>
      <c r="J98" s="16">
        <f>0.088</f>
        <v>8.7999999999999995E-2</v>
      </c>
      <c r="K98" s="18">
        <v>8.5000000000000006E-2</v>
      </c>
      <c r="L98" s="18">
        <v>8.4000000000000005E-2</v>
      </c>
      <c r="M98" s="18">
        <v>2.1999999999999999E-2</v>
      </c>
      <c r="N98" s="18">
        <v>5.0000000000000001E-3</v>
      </c>
      <c r="O98" s="18">
        <v>1.7999999999999999E-2</v>
      </c>
      <c r="P98" s="19">
        <v>-2.5500000000000201E-3</v>
      </c>
      <c r="Q98" s="19">
        <v>-2.9761999999999898E-4</v>
      </c>
      <c r="R98" s="20">
        <v>0</v>
      </c>
      <c r="S98" s="19">
        <v>7.6779000000000101E-3</v>
      </c>
      <c r="T98" s="19">
        <v>3.46414000000001E-2</v>
      </c>
      <c r="U98" s="21">
        <v>0</v>
      </c>
      <c r="V98" s="21">
        <v>0</v>
      </c>
      <c r="W98" s="21">
        <v>0</v>
      </c>
      <c r="X98" s="21">
        <f>187*1000</f>
        <v>187000</v>
      </c>
      <c r="Y98" s="21">
        <v>0</v>
      </c>
      <c r="Z98" s="22">
        <v>1525</v>
      </c>
      <c r="AA98" s="22">
        <v>1586</v>
      </c>
      <c r="AB98" s="22">
        <v>1328</v>
      </c>
      <c r="AC98" s="22">
        <v>1379</v>
      </c>
      <c r="AD98" s="22">
        <v>1018</v>
      </c>
      <c r="AE98" s="27">
        <v>-10110000</v>
      </c>
      <c r="AF98" s="23">
        <v>559000</v>
      </c>
      <c r="AG98" s="23">
        <v>769000</v>
      </c>
      <c r="AH98" s="23">
        <v>3377000</v>
      </c>
      <c r="AI98" s="23">
        <v>987000</v>
      </c>
      <c r="AJ98" s="28">
        <v>-0.28417408506429276</v>
      </c>
      <c r="AK98" s="22">
        <v>6.9749552772808583</v>
      </c>
      <c r="AL98" s="22">
        <v>4.3055916775032506</v>
      </c>
      <c r="AM98" s="22">
        <v>1.2611785608528279</v>
      </c>
      <c r="AN98" s="22">
        <v>3.1225937183383992</v>
      </c>
      <c r="AO98" s="24">
        <f t="array" ref="AO98">('1100'!G98) / 100</f>
        <v>-0.54949999999999999</v>
      </c>
      <c r="AP98" s="24">
        <f t="array" ref="AP98">('1100'!H98) / 100</f>
        <v>2.9100000000000001E-2</v>
      </c>
      <c r="AQ98" s="24">
        <f t="array" ref="AQ98">('1100'!I98) / 100</f>
        <v>4.6799999999999994E-2</v>
      </c>
      <c r="AR98" s="24">
        <f t="array" ref="AR98">('1100'!J98) / 100</f>
        <v>0.26579999999999998</v>
      </c>
      <c r="AS98" s="24">
        <f t="array" ref="AS98">('1100'!K98) / 100</f>
        <v>4.9100000000000005E-2</v>
      </c>
      <c r="AT98" s="25">
        <f t="array" ref="AT98">('1100'!A98) / 100</f>
        <v>-5.5E-2</v>
      </c>
      <c r="AU98" s="25">
        <f t="array" ref="AU98">('1100'!B98) / 100</f>
        <v>0.40799999999999997</v>
      </c>
      <c r="AV98" s="25">
        <f t="array" ref="AV98">('1100'!C98) / 100</f>
        <v>0.42599999999999999</v>
      </c>
      <c r="AW98" s="25">
        <f t="array" ref="AW98">('1100'!D98) / 100</f>
        <v>0.20300000000000001</v>
      </c>
      <c r="AX98" s="25">
        <f t="array" ref="AX98">('1100'!E98) / 100</f>
        <v>9.8000000000000004E-2</v>
      </c>
      <c r="AY98" s="23">
        <v>18852000</v>
      </c>
      <c r="AZ98" s="23">
        <v>16696000</v>
      </c>
      <c r="BA98" s="23">
        <v>12771000</v>
      </c>
      <c r="BB98" s="23">
        <v>12254000</v>
      </c>
      <c r="BC98" s="23">
        <v>15838000</v>
      </c>
      <c r="BD98" s="22">
        <v>1293000</v>
      </c>
      <c r="BE98" s="22">
        <v>1805000</v>
      </c>
      <c r="BF98" s="22">
        <v>1338000</v>
      </c>
      <c r="BG98" s="22">
        <v>1309000</v>
      </c>
      <c r="BH98" s="22">
        <v>2311000</v>
      </c>
      <c r="BI98" s="23">
        <v>19717000</v>
      </c>
      <c r="BJ98" s="23">
        <v>21863000</v>
      </c>
      <c r="BK98" s="23">
        <v>19527000</v>
      </c>
      <c r="BL98" s="23">
        <v>15949000</v>
      </c>
      <c r="BM98" s="23">
        <v>14697000</v>
      </c>
      <c r="BN98" s="28">
        <v>-1090000</v>
      </c>
      <c r="BO98" s="22">
        <v>8911000</v>
      </c>
      <c r="BP98" s="22">
        <v>8323000</v>
      </c>
      <c r="BQ98" s="22">
        <v>3236000</v>
      </c>
      <c r="BR98" s="22">
        <v>1435000</v>
      </c>
    </row>
    <row r="99" spans="1:70" ht="15" x14ac:dyDescent="0.2">
      <c r="A99" s="13" t="s">
        <v>308</v>
      </c>
      <c r="B99" s="14">
        <v>5563543452</v>
      </c>
      <c r="C99" s="14" t="s">
        <v>309</v>
      </c>
      <c r="D99" s="14" t="s">
        <v>67</v>
      </c>
      <c r="E99" s="15" t="s">
        <v>82</v>
      </c>
      <c r="F99" s="16">
        <v>0.1</v>
      </c>
      <c r="G99" s="16">
        <v>0.09</v>
      </c>
      <c r="H99" s="16">
        <v>8.8999999999999996E-2</v>
      </c>
      <c r="I99" s="16">
        <v>9.2999999999999999E-2</v>
      </c>
      <c r="J99" s="16">
        <v>8.7999999999999995E-2</v>
      </c>
      <c r="K99" s="18">
        <v>8.5000000000000006E-2</v>
      </c>
      <c r="L99" s="18">
        <v>8.4000000000000005E-2</v>
      </c>
      <c r="M99" s="18">
        <v>2.1999999999999999E-2</v>
      </c>
      <c r="N99" s="18">
        <v>5.0000000000000001E-3</v>
      </c>
      <c r="O99" s="18">
        <v>1.7999999999999999E-2</v>
      </c>
      <c r="P99" s="19">
        <v>-2.5500000000000201E-3</v>
      </c>
      <c r="Q99" s="19">
        <v>-2.9761999999999898E-4</v>
      </c>
      <c r="R99" s="20">
        <v>0</v>
      </c>
      <c r="S99" s="19">
        <v>7.6779000000000101E-3</v>
      </c>
      <c r="T99" s="19">
        <v>3.46414000000001E-2</v>
      </c>
      <c r="U99" s="34">
        <v>0</v>
      </c>
      <c r="V99" s="34">
        <v>0</v>
      </c>
      <c r="W99" s="34">
        <v>0</v>
      </c>
      <c r="X99" s="34">
        <v>0</v>
      </c>
      <c r="Y99" s="34">
        <v>0</v>
      </c>
      <c r="Z99" s="22">
        <v>1084</v>
      </c>
      <c r="AA99" s="22">
        <v>1117</v>
      </c>
      <c r="AB99" s="22">
        <v>478</v>
      </c>
      <c r="AC99" s="22">
        <v>405</v>
      </c>
      <c r="AD99" s="22">
        <v>398</v>
      </c>
      <c r="AE99" s="23">
        <v>1117000</v>
      </c>
      <c r="AF99" s="23">
        <v>1050000</v>
      </c>
      <c r="AG99" s="23">
        <v>507956</v>
      </c>
      <c r="AH99" s="23">
        <v>454085</v>
      </c>
      <c r="AI99" s="23">
        <v>587335</v>
      </c>
      <c r="AJ99" s="22">
        <v>1.738585496866607</v>
      </c>
      <c r="AK99" s="22">
        <v>3.0066666666666668</v>
      </c>
      <c r="AL99" s="22">
        <v>6.1148170313964201</v>
      </c>
      <c r="AM99" s="22">
        <v>0.16152922910908751</v>
      </c>
      <c r="AN99" s="22">
        <v>0.16143257255229129</v>
      </c>
      <c r="AO99" s="24">
        <f t="array" ref="AO99">('1100'!G99) / 100</f>
        <v>-1.0165</v>
      </c>
      <c r="AP99" s="24">
        <f t="array" ref="AP99">('1100'!H99) / 100</f>
        <v>0.20280000000000001</v>
      </c>
      <c r="AQ99" s="24">
        <f t="array" ref="AQ99">('1100'!I99) / 100</f>
        <v>0.28010000000000002</v>
      </c>
      <c r="AR99" s="24">
        <f t="array" ref="AR99">('1100'!J99) / 100</f>
        <v>0.30480000000000002</v>
      </c>
      <c r="AS99" s="24">
        <f t="array" ref="AS99">('1100'!K99) / 100</f>
        <v>0.3347</v>
      </c>
      <c r="AT99" s="25">
        <f t="array" ref="AT99">('1100'!A99) / 100</f>
        <v>0.77900000000000003</v>
      </c>
      <c r="AU99" s="25">
        <f t="array" ref="AU99">('1100'!B99) / 100</f>
        <v>0.81400000000000006</v>
      </c>
      <c r="AV99" s="25">
        <f t="array" ref="AV99">('1100'!C99) / 100</f>
        <v>0.78900000000000003</v>
      </c>
      <c r="AW99" s="25">
        <f t="array" ref="AW99">('1100'!D99) / 100</f>
        <v>0.873</v>
      </c>
      <c r="AX99" s="25">
        <f t="array" ref="AX99">('1100'!E99) / 100</f>
        <v>0.83900000000000008</v>
      </c>
      <c r="AY99" s="23">
        <v>3517000</v>
      </c>
      <c r="AZ99" s="23">
        <v>3255000</v>
      </c>
      <c r="BA99" s="23">
        <v>1690693</v>
      </c>
      <c r="BB99" s="23">
        <v>1257064</v>
      </c>
      <c r="BC99" s="23">
        <v>1480439</v>
      </c>
      <c r="BD99" s="22">
        <v>9591000</v>
      </c>
      <c r="BE99" s="22">
        <v>13874000</v>
      </c>
      <c r="BF99" s="22">
        <v>12994620</v>
      </c>
      <c r="BG99" s="22">
        <v>403239</v>
      </c>
      <c r="BH99" s="22">
        <v>425842</v>
      </c>
      <c r="BI99" s="23">
        <v>16329000</v>
      </c>
      <c r="BJ99" s="23">
        <v>20551000</v>
      </c>
      <c r="BK99" s="23">
        <v>19428796</v>
      </c>
      <c r="BL99" s="23">
        <v>2305089</v>
      </c>
      <c r="BM99" s="23">
        <v>2138687</v>
      </c>
      <c r="BN99" s="22">
        <v>12722000</v>
      </c>
      <c r="BO99" s="22">
        <v>16736000</v>
      </c>
      <c r="BP99" s="22">
        <v>15322175</v>
      </c>
      <c r="BQ99" s="22">
        <v>2012570</v>
      </c>
      <c r="BR99" s="22">
        <v>1794023</v>
      </c>
    </row>
    <row r="100" spans="1:70" ht="15" x14ac:dyDescent="0.2">
      <c r="A100" s="13" t="s">
        <v>310</v>
      </c>
      <c r="B100" s="14">
        <v>5565554317</v>
      </c>
      <c r="C100" s="14" t="s">
        <v>311</v>
      </c>
      <c r="D100" s="14" t="s">
        <v>67</v>
      </c>
      <c r="E100" s="15" t="s">
        <v>90</v>
      </c>
      <c r="F100" s="16">
        <v>9.5000000000000001E-2</v>
      </c>
      <c r="G100" s="16">
        <v>9.2999999999999999E-2</v>
      </c>
      <c r="H100" s="16">
        <v>9.7000000000000003E-2</v>
      </c>
      <c r="I100" s="16">
        <v>8.5999999999999993E-2</v>
      </c>
      <c r="J100" s="16">
        <v>8.5999999999999993E-2</v>
      </c>
      <c r="K100" s="18">
        <v>8.5000000000000006E-2</v>
      </c>
      <c r="L100" s="18">
        <v>8.4000000000000005E-2</v>
      </c>
      <c r="M100" s="18">
        <v>2.1999999999999999E-2</v>
      </c>
      <c r="N100" s="18">
        <v>5.0000000000000001E-3</v>
      </c>
      <c r="O100" s="18">
        <v>1.7999999999999999E-2</v>
      </c>
      <c r="P100" s="19">
        <v>-2.5500000000000201E-3</v>
      </c>
      <c r="Q100" s="19">
        <v>-2.9761999999999898E-4</v>
      </c>
      <c r="R100" s="20">
        <v>0</v>
      </c>
      <c r="S100" s="19">
        <v>7.6779000000000101E-3</v>
      </c>
      <c r="T100" s="19">
        <v>3.46414000000001E-2</v>
      </c>
      <c r="U100" s="34">
        <v>0</v>
      </c>
      <c r="V100" s="34">
        <v>0</v>
      </c>
      <c r="W100" s="34">
        <v>0</v>
      </c>
      <c r="X100" s="34">
        <v>0</v>
      </c>
      <c r="Y100" s="34">
        <v>0</v>
      </c>
      <c r="Z100" s="22">
        <v>1942</v>
      </c>
      <c r="AA100" s="22">
        <v>1901</v>
      </c>
      <c r="AB100" s="22">
        <v>1723</v>
      </c>
      <c r="AC100" s="22">
        <v>1771</v>
      </c>
      <c r="AD100" s="22">
        <v>2136</v>
      </c>
      <c r="AE100" s="23">
        <v>999000</v>
      </c>
      <c r="AF100" s="23">
        <v>956000</v>
      </c>
      <c r="AG100" s="23">
        <v>869000</v>
      </c>
      <c r="AH100" s="23">
        <v>437000</v>
      </c>
      <c r="AI100" s="23">
        <v>581000</v>
      </c>
      <c r="AJ100" s="22">
        <v>2.7517517517517516</v>
      </c>
      <c r="AK100" s="22">
        <v>1.1276150627615062</v>
      </c>
      <c r="AL100" s="22">
        <v>2.5201380897583427</v>
      </c>
      <c r="AM100" s="22">
        <v>3.6750572082379862</v>
      </c>
      <c r="AN100" s="22">
        <v>3.8192771084337349</v>
      </c>
      <c r="AO100" s="24">
        <f t="array" ref="AO100">('1100'!G100) / 100</f>
        <v>8.8100000000000012E-2</v>
      </c>
      <c r="AP100" s="24">
        <f t="array" ref="AP100">('1100'!H100) / 100</f>
        <v>8.6400000000000005E-2</v>
      </c>
      <c r="AQ100" s="24">
        <f t="array" ref="AQ100">('1100'!I100) / 100</f>
        <v>0.1026</v>
      </c>
      <c r="AR100" s="24">
        <f t="array" ref="AR100">('1100'!J100) / 100</f>
        <v>6.7799999999999999E-2</v>
      </c>
      <c r="AS100" s="24">
        <f t="array" ref="AS100">('1100'!K100) / 100</f>
        <v>2.1099999999999997E-2</v>
      </c>
      <c r="AT100" s="25">
        <f t="array" ref="AT100">('1100'!A100) / 100</f>
        <v>0.33500000000000002</v>
      </c>
      <c r="AU100" s="25">
        <f t="array" ref="AU100">('1100'!B100) / 100</f>
        <v>0.317</v>
      </c>
      <c r="AV100" s="25">
        <f t="array" ref="AV100">('1100'!C100) / 100</f>
        <v>0.33299999999999996</v>
      </c>
      <c r="AW100" s="25">
        <f t="array" ref="AW100">('1100'!D100) / 100</f>
        <v>0.495</v>
      </c>
      <c r="AX100" s="25">
        <f t="array" ref="AX100">('1100'!E100) / 100</f>
        <v>0.38200000000000001</v>
      </c>
      <c r="AY100" s="23">
        <v>7811000</v>
      </c>
      <c r="AZ100" s="23">
        <v>7791000</v>
      </c>
      <c r="BA100" s="23">
        <v>6335000</v>
      </c>
      <c r="BB100" s="23">
        <v>6706000</v>
      </c>
      <c r="BC100" s="23">
        <v>6875000</v>
      </c>
      <c r="BD100" s="22">
        <v>1797000</v>
      </c>
      <c r="BE100" s="22">
        <v>1708000</v>
      </c>
      <c r="BF100" s="22">
        <v>1474000</v>
      </c>
      <c r="BG100" s="22">
        <v>1600000</v>
      </c>
      <c r="BH100" s="22">
        <v>2020000</v>
      </c>
      <c r="BI100" s="23">
        <v>6552000</v>
      </c>
      <c r="BJ100" s="23">
        <v>6686000</v>
      </c>
      <c r="BK100" s="23">
        <v>5623000</v>
      </c>
      <c r="BL100" s="23">
        <v>6506000</v>
      </c>
      <c r="BM100" s="23">
        <v>6156000</v>
      </c>
      <c r="BN100" s="22">
        <v>2197000</v>
      </c>
      <c r="BO100" s="22">
        <v>2119000</v>
      </c>
      <c r="BP100" s="22">
        <v>1872000</v>
      </c>
      <c r="BQ100" s="22">
        <v>3219000</v>
      </c>
      <c r="BR100" s="22">
        <v>2351000</v>
      </c>
    </row>
    <row r="101" spans="1:70" ht="15" x14ac:dyDescent="0.2">
      <c r="A101" s="13" t="s">
        <v>312</v>
      </c>
      <c r="B101" s="14">
        <v>5560762055</v>
      </c>
      <c r="C101" s="14" t="s">
        <v>313</v>
      </c>
      <c r="D101" s="14" t="s">
        <v>67</v>
      </c>
      <c r="E101" s="15" t="s">
        <v>68</v>
      </c>
      <c r="F101" s="16">
        <v>6.7000000000000004E-2</v>
      </c>
      <c r="G101" s="16">
        <f>0.12</f>
        <v>0.12</v>
      </c>
      <c r="H101" s="16">
        <f>0.108</f>
        <v>0.108</v>
      </c>
      <c r="I101" s="16">
        <f>0.113</f>
        <v>0.113</v>
      </c>
      <c r="J101" s="16">
        <f>0.105</f>
        <v>0.105</v>
      </c>
      <c r="K101" s="18">
        <v>8.5000000000000006E-2</v>
      </c>
      <c r="L101" s="18">
        <v>8.4000000000000005E-2</v>
      </c>
      <c r="M101" s="18">
        <v>2.1999999999999999E-2</v>
      </c>
      <c r="N101" s="18">
        <v>5.0000000000000001E-3</v>
      </c>
      <c r="O101" s="18">
        <v>1.7999999999999999E-2</v>
      </c>
      <c r="P101" s="19">
        <v>-2.5500000000000301E-3</v>
      </c>
      <c r="Q101" s="19">
        <v>-2.9761999999999898E-4</v>
      </c>
      <c r="R101" s="20">
        <v>0</v>
      </c>
      <c r="S101" s="19">
        <v>7.6779000000000101E-3</v>
      </c>
      <c r="T101" s="19">
        <v>3.46414000000001E-2</v>
      </c>
      <c r="U101" s="34">
        <v>0</v>
      </c>
      <c r="V101" s="34">
        <v>0</v>
      </c>
      <c r="W101" s="34">
        <v>0</v>
      </c>
      <c r="X101" s="34">
        <v>0</v>
      </c>
      <c r="Y101" s="34">
        <v>0</v>
      </c>
      <c r="Z101" s="22">
        <v>1381</v>
      </c>
      <c r="AA101" s="22">
        <v>1426</v>
      </c>
      <c r="AB101" s="22">
        <v>1245</v>
      </c>
      <c r="AC101" s="22">
        <v>1085</v>
      </c>
      <c r="AD101" s="22">
        <v>1085</v>
      </c>
      <c r="AE101" s="23">
        <v>440678</v>
      </c>
      <c r="AF101" s="23">
        <v>467318</v>
      </c>
      <c r="AG101" s="23">
        <v>556534</v>
      </c>
      <c r="AH101" s="23">
        <v>359726</v>
      </c>
      <c r="AI101" s="23">
        <v>313307</v>
      </c>
      <c r="AJ101" s="22">
        <v>2.725493444192812</v>
      </c>
      <c r="AK101" s="22">
        <v>2.3912475017011969</v>
      </c>
      <c r="AL101" s="22">
        <v>1.5095609612350729</v>
      </c>
      <c r="AM101" s="22">
        <v>2.1863835252386536</v>
      </c>
      <c r="AN101" s="22">
        <v>2.191543757400888</v>
      </c>
      <c r="AO101" s="24">
        <f t="array" ref="AO101">('1100'!G101) / 100</f>
        <v>9.4E-2</v>
      </c>
      <c r="AP101" s="24">
        <f t="array" ref="AP101">('1100'!H101) / 100</f>
        <v>0.1057</v>
      </c>
      <c r="AQ101" s="24">
        <f t="array" ref="AQ101">('1100'!I101) / 100</f>
        <v>0.1477</v>
      </c>
      <c r="AR101" s="24">
        <f t="array" ref="AR101">('1100'!J101) / 100</f>
        <v>0.12570000000000001</v>
      </c>
      <c r="AS101" s="24">
        <f t="array" ref="AS101">('1100'!K101) / 100</f>
        <v>0.11210000000000001</v>
      </c>
      <c r="AT101" s="25">
        <f t="array" ref="AT101">('1100'!A101) / 100</f>
        <v>0.439</v>
      </c>
      <c r="AU101" s="25">
        <f t="array" ref="AU101">('1100'!B101) / 100</f>
        <v>0.42399999999999999</v>
      </c>
      <c r="AV101" s="25">
        <f t="array" ref="AV101">('1100'!C101) / 100</f>
        <v>0.38400000000000001</v>
      </c>
      <c r="AW101" s="25">
        <f t="array" ref="AW101">('1100'!D101) / 100</f>
        <v>0.42299999999999999</v>
      </c>
      <c r="AX101" s="25">
        <f t="array" ref="AX101">('1100'!E101) / 100</f>
        <v>0.38400000000000001</v>
      </c>
      <c r="AY101" s="23">
        <v>3480447</v>
      </c>
      <c r="AZ101" s="23">
        <v>3534142</v>
      </c>
      <c r="BA101" s="23">
        <v>3177638</v>
      </c>
      <c r="BB101" s="23">
        <v>2258497</v>
      </c>
      <c r="BC101" s="23">
        <v>2142138</v>
      </c>
      <c r="BD101" s="22">
        <v>1135809</v>
      </c>
      <c r="BE101" s="22">
        <v>968079</v>
      </c>
      <c r="BF101" s="22">
        <v>962843</v>
      </c>
      <c r="BG101" s="22">
        <v>626453</v>
      </c>
      <c r="BH101" s="22">
        <v>576426</v>
      </c>
      <c r="BI101" s="23">
        <v>3760700</v>
      </c>
      <c r="BJ101" s="23">
        <v>3605539</v>
      </c>
      <c r="BK101" s="23">
        <v>3494616</v>
      </c>
      <c r="BL101" s="23">
        <v>2486398</v>
      </c>
      <c r="BM101" s="23">
        <v>2080648</v>
      </c>
      <c r="BN101" s="22">
        <v>1650516</v>
      </c>
      <c r="BO101" s="22">
        <v>1530241</v>
      </c>
      <c r="BP101" s="22">
        <v>1340937</v>
      </c>
      <c r="BQ101" s="22">
        <v>1050971</v>
      </c>
      <c r="BR101" s="22">
        <v>799883</v>
      </c>
    </row>
    <row r="102" spans="1:70" ht="15" x14ac:dyDescent="0.2">
      <c r="A102" s="13"/>
      <c r="B102" s="14"/>
      <c r="C102" s="14"/>
      <c r="D102" s="14"/>
      <c r="E102" s="15"/>
      <c r="F102" s="39">
        <f t="shared" ref="F102:J102" si="14">AVERAGE(F2:F101)</f>
        <v>0.10474600000000002</v>
      </c>
      <c r="G102" s="39">
        <f t="shared" si="14"/>
        <v>9.9417000000000047E-2</v>
      </c>
      <c r="H102" s="39">
        <f t="shared" si="14"/>
        <v>9.0164646464646489E-2</v>
      </c>
      <c r="I102" s="39">
        <f t="shared" si="14"/>
        <v>9.0784848484848524E-2</v>
      </c>
      <c r="J102" s="39">
        <f t="shared" si="14"/>
        <v>9.1708080808080808E-2</v>
      </c>
      <c r="K102" s="24">
        <f t="shared" ref="K102:N102" si="15">K101-L101</f>
        <v>1.0000000000000009E-3</v>
      </c>
      <c r="L102" s="24">
        <f t="shared" si="15"/>
        <v>6.2000000000000006E-2</v>
      </c>
      <c r="M102" s="24">
        <f t="shared" si="15"/>
        <v>1.6999999999999998E-2</v>
      </c>
      <c r="N102" s="24">
        <f t="shared" si="15"/>
        <v>-1.2999999999999998E-2</v>
      </c>
      <c r="O102" s="24"/>
      <c r="P102" s="40"/>
      <c r="Q102" s="40"/>
      <c r="R102" s="41"/>
      <c r="S102" s="40"/>
      <c r="T102" s="40"/>
      <c r="U102" s="42"/>
      <c r="V102" s="42"/>
      <c r="W102" s="42"/>
      <c r="X102" s="42"/>
      <c r="Y102" s="42"/>
      <c r="Z102" s="22"/>
      <c r="AA102" s="22"/>
      <c r="AB102" s="22"/>
      <c r="AC102" s="22"/>
      <c r="AD102" s="22"/>
      <c r="AE102" s="23"/>
      <c r="AF102" s="23"/>
      <c r="AG102" s="23"/>
      <c r="AH102" s="23"/>
      <c r="AI102" s="23"/>
      <c r="AJ102" s="22"/>
      <c r="AK102" s="22"/>
      <c r="AL102" s="22"/>
      <c r="AM102" s="22"/>
      <c r="AN102" s="22"/>
      <c r="AO102" s="23"/>
      <c r="AP102" s="23"/>
      <c r="AQ102" s="23"/>
      <c r="AR102" s="23"/>
      <c r="AS102" s="23"/>
      <c r="AT102" s="22"/>
      <c r="AU102" s="22"/>
      <c r="AV102" s="22"/>
      <c r="AW102" s="22"/>
      <c r="AX102" s="22"/>
      <c r="AY102" s="23"/>
      <c r="AZ102" s="23"/>
      <c r="BA102" s="23"/>
      <c r="BB102" s="23"/>
      <c r="BC102" s="23"/>
      <c r="BD102" s="22"/>
      <c r="BE102" s="22"/>
      <c r="BF102" s="22"/>
      <c r="BG102" s="22"/>
      <c r="BH102" s="22"/>
      <c r="BI102" s="23"/>
      <c r="BJ102" s="23"/>
      <c r="BK102" s="23"/>
      <c r="BL102" s="23"/>
      <c r="BM102" s="23"/>
      <c r="BN102" s="22"/>
      <c r="BO102" s="22"/>
      <c r="BP102" s="22"/>
      <c r="BQ102" s="22"/>
      <c r="BR102" s="22"/>
    </row>
    <row r="103" spans="1:70" ht="15" x14ac:dyDescent="0.2">
      <c r="A103" s="13"/>
      <c r="B103" s="14"/>
      <c r="C103" s="14"/>
      <c r="D103" s="14"/>
      <c r="E103" s="15"/>
      <c r="F103" s="39">
        <f t="shared" ref="F103:I103" si="16">F102-G102</f>
        <v>5.3289999999999726E-3</v>
      </c>
      <c r="G103" s="39">
        <f t="shared" si="16"/>
        <v>9.252353535353558E-3</v>
      </c>
      <c r="H103" s="39">
        <f t="shared" si="16"/>
        <v>-6.2020202020203474E-4</v>
      </c>
      <c r="I103" s="39">
        <f t="shared" si="16"/>
        <v>-9.2323232323228421E-4</v>
      </c>
      <c r="J103" s="39"/>
      <c r="K103" s="24"/>
      <c r="L103" s="24"/>
      <c r="M103" s="24"/>
      <c r="N103" s="24"/>
      <c r="O103" s="24"/>
      <c r="P103" s="40"/>
      <c r="Q103" s="40"/>
      <c r="R103" s="41"/>
      <c r="S103" s="40"/>
      <c r="T103" s="40"/>
      <c r="U103" s="42"/>
      <c r="V103" s="42"/>
      <c r="W103" s="42"/>
      <c r="X103" s="42"/>
      <c r="Y103" s="42"/>
      <c r="Z103" s="22"/>
      <c r="AA103" s="22"/>
      <c r="AB103" s="22"/>
      <c r="AC103" s="22"/>
      <c r="AD103" s="22"/>
      <c r="AE103" s="23"/>
      <c r="AF103" s="23"/>
      <c r="AG103" s="23"/>
      <c r="AH103" s="23"/>
      <c r="AI103" s="23"/>
      <c r="AJ103" s="22"/>
      <c r="AK103" s="22"/>
      <c r="AL103" s="22"/>
      <c r="AM103" s="22"/>
      <c r="AN103" s="22"/>
      <c r="AO103" s="23"/>
      <c r="AP103" s="23"/>
      <c r="AQ103" s="23"/>
      <c r="AR103" s="23"/>
      <c r="AS103" s="23"/>
      <c r="AT103" s="22"/>
      <c r="AU103" s="22"/>
      <c r="AV103" s="22"/>
      <c r="AW103" s="22"/>
      <c r="AX103" s="22"/>
      <c r="AY103" s="23"/>
      <c r="AZ103" s="23"/>
      <c r="BA103" s="23"/>
      <c r="BB103" s="23"/>
      <c r="BC103" s="23"/>
      <c r="BD103" s="22"/>
      <c r="BE103" s="22"/>
      <c r="BF103" s="22"/>
      <c r="BG103" s="22"/>
      <c r="BH103" s="22"/>
      <c r="BI103" s="23"/>
      <c r="BJ103" s="23"/>
      <c r="BK103" s="23"/>
      <c r="BL103" s="23"/>
      <c r="BM103" s="23"/>
      <c r="BN103" s="22"/>
      <c r="BO103" s="22"/>
      <c r="BP103" s="22"/>
      <c r="BQ103" s="22"/>
      <c r="BR103" s="22"/>
    </row>
  </sheetData>
  <autoFilter ref="A1:BR103" xr:uid="{00000000-0009-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00"/>
  <sheetViews>
    <sheetView workbookViewId="0"/>
  </sheetViews>
  <sheetFormatPr baseColWidth="10" defaultColWidth="14.3984375" defaultRowHeight="15.75" customHeight="1" x14ac:dyDescent="0.2"/>
  <cols>
    <col min="7" max="11" width="15.796875" customWidth="1"/>
  </cols>
  <sheetData>
    <row r="1" spans="1:11" x14ac:dyDescent="0.2">
      <c r="A1" s="9" t="s">
        <v>314</v>
      </c>
      <c r="B1" s="9" t="s">
        <v>315</v>
      </c>
      <c r="C1" s="9" t="s">
        <v>316</v>
      </c>
      <c r="D1" s="9" t="s">
        <v>317</v>
      </c>
      <c r="E1" s="9" t="s">
        <v>318</v>
      </c>
      <c r="G1" s="11" t="s">
        <v>40</v>
      </c>
      <c r="H1" s="11" t="s">
        <v>41</v>
      </c>
      <c r="I1" s="11" t="s">
        <v>42</v>
      </c>
      <c r="J1" s="11" t="s">
        <v>43</v>
      </c>
      <c r="K1" s="11" t="s">
        <v>44</v>
      </c>
    </row>
    <row r="2" spans="1:11" x14ac:dyDescent="0.2">
      <c r="A2" s="22">
        <v>56</v>
      </c>
      <c r="B2" s="22">
        <v>44.2</v>
      </c>
      <c r="C2" s="22">
        <v>43.4</v>
      </c>
      <c r="D2" s="22">
        <v>43.5</v>
      </c>
      <c r="E2" s="22">
        <v>45.1</v>
      </c>
      <c r="G2" s="43">
        <f>9.12</f>
        <v>9.1199999999999992</v>
      </c>
      <c r="H2" s="23">
        <v>5.17</v>
      </c>
      <c r="I2" s="23">
        <v>5.95</v>
      </c>
      <c r="J2" s="23">
        <v>7.83</v>
      </c>
      <c r="K2" s="23">
        <v>7.6</v>
      </c>
    </row>
    <row r="3" spans="1:11" x14ac:dyDescent="0.2">
      <c r="A3" s="22">
        <v>35.9</v>
      </c>
      <c r="B3" s="22">
        <v>33.9</v>
      </c>
      <c r="C3" s="22">
        <v>31.6</v>
      </c>
      <c r="D3" s="22">
        <v>32.799999999999997</v>
      </c>
      <c r="E3" s="22">
        <v>35.5</v>
      </c>
      <c r="G3" s="23">
        <v>12.35</v>
      </c>
      <c r="H3" s="23">
        <v>11.65</v>
      </c>
      <c r="I3" s="23">
        <v>10.72</v>
      </c>
      <c r="J3" s="23">
        <v>8.84</v>
      </c>
      <c r="K3" s="23">
        <v>9.94</v>
      </c>
    </row>
    <row r="4" spans="1:11" x14ac:dyDescent="0.2">
      <c r="A4" s="22">
        <v>44.2</v>
      </c>
      <c r="B4" s="22">
        <v>43.5</v>
      </c>
      <c r="C4" s="22">
        <v>42.4</v>
      </c>
      <c r="D4" s="22">
        <v>42.8</v>
      </c>
      <c r="E4" s="22">
        <v>38.4</v>
      </c>
      <c r="G4" s="23">
        <v>8.56</v>
      </c>
      <c r="H4" s="23">
        <v>9.43</v>
      </c>
      <c r="I4" s="23">
        <v>8.7799999999999994</v>
      </c>
      <c r="J4" s="23">
        <v>9.2200000000000006</v>
      </c>
      <c r="K4" s="23">
        <v>7.35</v>
      </c>
    </row>
    <row r="5" spans="1:11" x14ac:dyDescent="0.2">
      <c r="A5" s="22">
        <v>9.4</v>
      </c>
      <c r="B5" s="22">
        <v>12.9</v>
      </c>
      <c r="C5" s="22">
        <v>17.3</v>
      </c>
      <c r="D5" s="22">
        <v>18.8</v>
      </c>
      <c r="E5" s="22">
        <v>21.1</v>
      </c>
      <c r="G5" s="27">
        <v>-1.9</v>
      </c>
      <c r="H5" s="27">
        <v>-7.0000000000000007E-2</v>
      </c>
      <c r="I5" s="23">
        <v>5.45</v>
      </c>
      <c r="J5" s="23">
        <v>5.05</v>
      </c>
      <c r="K5" s="23">
        <v>2.74</v>
      </c>
    </row>
    <row r="6" spans="1:11" x14ac:dyDescent="0.2">
      <c r="A6" s="22">
        <v>47.1</v>
      </c>
      <c r="B6" s="22">
        <v>46.8</v>
      </c>
      <c r="C6" s="22">
        <v>43.8</v>
      </c>
      <c r="D6" s="22">
        <v>37.9</v>
      </c>
      <c r="E6" s="22">
        <v>37.700000000000003</v>
      </c>
      <c r="G6" s="23">
        <v>11.26</v>
      </c>
      <c r="H6" s="23">
        <v>8.93</v>
      </c>
      <c r="I6" s="23">
        <v>13.27</v>
      </c>
      <c r="J6" s="23">
        <v>9.5399999999999991</v>
      </c>
      <c r="K6" s="23">
        <v>11.26</v>
      </c>
    </row>
    <row r="7" spans="1:11" x14ac:dyDescent="0.2">
      <c r="A7" s="22">
        <v>26.4</v>
      </c>
      <c r="B7" s="22">
        <v>25.9</v>
      </c>
      <c r="C7" s="22">
        <v>27.3</v>
      </c>
      <c r="D7" s="22">
        <v>28.4</v>
      </c>
      <c r="E7" s="22">
        <v>27</v>
      </c>
      <c r="G7" s="23">
        <v>12.57</v>
      </c>
      <c r="H7" s="23">
        <v>9.8699999999999992</v>
      </c>
      <c r="I7" s="23">
        <v>11.92</v>
      </c>
      <c r="J7" s="23">
        <v>8.2100000000000009</v>
      </c>
      <c r="K7" s="23">
        <v>11.54</v>
      </c>
    </row>
    <row r="8" spans="1:11" x14ac:dyDescent="0.2">
      <c r="A8" s="22">
        <v>45</v>
      </c>
      <c r="B8" s="22">
        <v>43.5</v>
      </c>
      <c r="C8" s="22">
        <v>49.9</v>
      </c>
      <c r="D8" s="22">
        <v>47.5</v>
      </c>
      <c r="E8" s="22">
        <v>42.9</v>
      </c>
      <c r="G8" s="23">
        <v>15.28</v>
      </c>
      <c r="H8" s="23">
        <v>13.03</v>
      </c>
      <c r="I8" s="23">
        <v>15.94</v>
      </c>
      <c r="J8" s="23">
        <v>14.05</v>
      </c>
      <c r="K8" s="23">
        <v>16.350000000000001</v>
      </c>
    </row>
    <row r="9" spans="1:11" x14ac:dyDescent="0.2">
      <c r="A9" s="22">
        <v>50.8</v>
      </c>
      <c r="B9" s="22">
        <v>30.6</v>
      </c>
      <c r="C9" s="22">
        <v>65.099999999999994</v>
      </c>
      <c r="D9" s="22">
        <v>62.8</v>
      </c>
      <c r="E9" s="22">
        <v>57.4</v>
      </c>
      <c r="G9" s="23">
        <v>20.63</v>
      </c>
      <c r="H9" s="23">
        <v>14.94</v>
      </c>
      <c r="I9" s="23">
        <v>12.93</v>
      </c>
      <c r="J9" s="23">
        <v>7.61</v>
      </c>
      <c r="K9" s="23">
        <v>13.56</v>
      </c>
    </row>
    <row r="10" spans="1:11" x14ac:dyDescent="0.2">
      <c r="A10" s="22">
        <v>41.1</v>
      </c>
      <c r="B10" s="22">
        <v>40.700000000000003</v>
      </c>
      <c r="C10" s="22">
        <v>39.5</v>
      </c>
      <c r="D10" s="22">
        <v>38.9</v>
      </c>
      <c r="E10" s="22">
        <v>0</v>
      </c>
      <c r="G10" s="23">
        <v>8.15</v>
      </c>
      <c r="H10" s="23">
        <v>7.31</v>
      </c>
      <c r="I10" s="23">
        <v>5.07</v>
      </c>
      <c r="J10" s="23">
        <v>4.91</v>
      </c>
      <c r="K10" s="23">
        <v>0</v>
      </c>
    </row>
    <row r="11" spans="1:11" x14ac:dyDescent="0.2">
      <c r="A11" s="22">
        <v>27.5</v>
      </c>
      <c r="B11" s="22">
        <v>26.2</v>
      </c>
      <c r="C11" s="22">
        <v>27.2</v>
      </c>
      <c r="D11" s="22">
        <v>29.4</v>
      </c>
      <c r="E11" s="22">
        <v>29.2</v>
      </c>
      <c r="G11" s="23">
        <v>7.39</v>
      </c>
      <c r="H11" s="23">
        <v>6.67</v>
      </c>
      <c r="I11" s="23">
        <v>5.22</v>
      </c>
      <c r="J11" s="23">
        <v>6.48</v>
      </c>
      <c r="K11" s="23">
        <v>4.8600000000000003</v>
      </c>
    </row>
    <row r="12" spans="1:11" x14ac:dyDescent="0.2">
      <c r="A12" s="22">
        <v>62.8</v>
      </c>
      <c r="B12" s="22">
        <v>55.5</v>
      </c>
      <c r="C12" s="22">
        <v>55.7</v>
      </c>
      <c r="D12" s="22">
        <v>56.4</v>
      </c>
      <c r="E12" s="22">
        <v>52.1</v>
      </c>
      <c r="G12" s="23">
        <v>9</v>
      </c>
      <c r="H12" s="23">
        <v>7.51</v>
      </c>
      <c r="I12" s="23">
        <v>8.57</v>
      </c>
      <c r="J12" s="23">
        <v>8.66</v>
      </c>
      <c r="K12" s="23">
        <v>6.87</v>
      </c>
    </row>
    <row r="13" spans="1:11" x14ac:dyDescent="0.2">
      <c r="A13" s="22">
        <v>46.7</v>
      </c>
      <c r="B13" s="22">
        <v>55.6</v>
      </c>
      <c r="C13" s="22">
        <v>53.5</v>
      </c>
      <c r="D13" s="22">
        <v>50.1</v>
      </c>
      <c r="E13" s="22">
        <v>50.1</v>
      </c>
      <c r="G13" s="23">
        <v>15.61</v>
      </c>
      <c r="H13" s="23">
        <v>15.41</v>
      </c>
      <c r="I13" s="23">
        <v>15.02</v>
      </c>
      <c r="J13" s="23">
        <v>14.23</v>
      </c>
      <c r="K13" s="23">
        <v>15.59</v>
      </c>
    </row>
    <row r="14" spans="1:11" x14ac:dyDescent="0.2">
      <c r="A14" s="22">
        <v>50.1</v>
      </c>
      <c r="B14" s="22">
        <v>46.4</v>
      </c>
      <c r="C14" s="22">
        <v>49.5</v>
      </c>
      <c r="D14" s="22">
        <v>46.9</v>
      </c>
      <c r="E14" s="22">
        <v>47.6</v>
      </c>
      <c r="G14" s="23">
        <v>21.74</v>
      </c>
      <c r="H14" s="23">
        <v>21.62</v>
      </c>
      <c r="I14" s="23">
        <v>21.46</v>
      </c>
      <c r="J14" s="23">
        <v>19.350000000000001</v>
      </c>
      <c r="K14" s="23">
        <v>21.26</v>
      </c>
    </row>
    <row r="15" spans="1:11" x14ac:dyDescent="0.2">
      <c r="A15" s="22">
        <v>23.4</v>
      </c>
      <c r="B15" s="22">
        <v>22.4</v>
      </c>
      <c r="C15" s="22">
        <v>23.4</v>
      </c>
      <c r="D15" s="22">
        <v>24.2</v>
      </c>
      <c r="E15" s="22">
        <v>28.8</v>
      </c>
      <c r="G15" s="23">
        <v>7.44</v>
      </c>
      <c r="H15" s="23">
        <v>4.26</v>
      </c>
      <c r="I15" s="23">
        <v>5.89</v>
      </c>
      <c r="J15" s="27">
        <v>-2.1800000000000002</v>
      </c>
      <c r="K15" s="23">
        <v>5.67</v>
      </c>
    </row>
    <row r="16" spans="1:11" x14ac:dyDescent="0.2">
      <c r="A16" s="22">
        <v>22.9</v>
      </c>
      <c r="B16" s="22">
        <v>23.1</v>
      </c>
      <c r="C16" s="22">
        <v>20.9</v>
      </c>
      <c r="D16" s="22">
        <v>23</v>
      </c>
      <c r="E16" s="22">
        <v>23.2</v>
      </c>
      <c r="G16" s="23">
        <v>4.22</v>
      </c>
      <c r="H16" s="23">
        <v>4.26</v>
      </c>
      <c r="I16" s="23">
        <v>4.6900000000000004</v>
      </c>
      <c r="J16" s="23">
        <v>4.7</v>
      </c>
      <c r="K16" s="23">
        <v>4.5199999999999996</v>
      </c>
    </row>
    <row r="17" spans="1:11" x14ac:dyDescent="0.2">
      <c r="A17" s="22">
        <v>54.4</v>
      </c>
      <c r="B17" s="22">
        <v>30.2</v>
      </c>
      <c r="C17" s="22">
        <v>33.799999999999997</v>
      </c>
      <c r="D17" s="22">
        <v>38.700000000000003</v>
      </c>
      <c r="E17" s="22">
        <v>38.700000000000003</v>
      </c>
      <c r="G17" s="23">
        <v>10.44</v>
      </c>
      <c r="H17" s="23">
        <v>8.7200000000000006</v>
      </c>
      <c r="I17" s="23">
        <v>8.14</v>
      </c>
      <c r="J17" s="23">
        <v>7.42</v>
      </c>
      <c r="K17" s="23">
        <v>8.3800000000000008</v>
      </c>
    </row>
    <row r="18" spans="1:11" x14ac:dyDescent="0.2">
      <c r="A18" s="22">
        <v>34.799999999999997</v>
      </c>
      <c r="B18" s="22">
        <v>37.9</v>
      </c>
      <c r="C18" s="22">
        <v>36.200000000000003</v>
      </c>
      <c r="D18" s="22">
        <v>34.4</v>
      </c>
      <c r="E18" s="22">
        <v>34.299999999999997</v>
      </c>
      <c r="G18" s="23">
        <v>8.24</v>
      </c>
      <c r="H18" s="23">
        <v>7.33</v>
      </c>
      <c r="I18" s="23">
        <v>6.58</v>
      </c>
      <c r="J18" s="23">
        <v>5.85</v>
      </c>
      <c r="K18" s="23">
        <v>4.88</v>
      </c>
    </row>
    <row r="19" spans="1:11" x14ac:dyDescent="0.2">
      <c r="A19" s="22">
        <v>55.5</v>
      </c>
      <c r="B19" s="22">
        <v>53.3</v>
      </c>
      <c r="C19" s="22">
        <v>38.299999999999997</v>
      </c>
      <c r="D19" s="22">
        <v>32.299999999999997</v>
      </c>
      <c r="E19" s="22">
        <v>48</v>
      </c>
      <c r="G19" s="27">
        <v>-11.41</v>
      </c>
      <c r="H19" s="23">
        <v>0.8</v>
      </c>
      <c r="I19" s="23">
        <v>5.77</v>
      </c>
      <c r="J19" s="23">
        <v>7.37</v>
      </c>
      <c r="K19" s="23">
        <v>4.67</v>
      </c>
    </row>
    <row r="20" spans="1:11" x14ac:dyDescent="0.2">
      <c r="A20" s="22">
        <v>25</v>
      </c>
      <c r="B20" s="22">
        <v>24.4</v>
      </c>
      <c r="C20" s="22">
        <v>25.7</v>
      </c>
      <c r="D20" s="22">
        <v>24.2</v>
      </c>
      <c r="E20" s="22">
        <v>19.8</v>
      </c>
      <c r="G20" s="23">
        <v>3.94</v>
      </c>
      <c r="H20" s="23">
        <v>6.21</v>
      </c>
      <c r="I20" s="23">
        <v>5.59</v>
      </c>
      <c r="J20" s="23">
        <v>4.68</v>
      </c>
      <c r="K20" s="23">
        <v>3.99</v>
      </c>
    </row>
    <row r="21" spans="1:11" x14ac:dyDescent="0.2">
      <c r="A21" s="22">
        <v>56.2</v>
      </c>
      <c r="B21" s="22">
        <v>56.9</v>
      </c>
      <c r="C21" s="22">
        <v>52.8</v>
      </c>
      <c r="D21" s="22">
        <v>53.1</v>
      </c>
      <c r="E21" s="22">
        <v>52.7</v>
      </c>
      <c r="G21" s="23">
        <v>1.52</v>
      </c>
      <c r="H21" s="23">
        <v>14.23</v>
      </c>
      <c r="I21" s="23">
        <v>7.6</v>
      </c>
      <c r="J21" s="23">
        <v>3.37</v>
      </c>
      <c r="K21" s="23">
        <v>5.9</v>
      </c>
    </row>
    <row r="22" spans="1:11" x14ac:dyDescent="0.2">
      <c r="A22" s="22">
        <v>87</v>
      </c>
      <c r="B22" s="22">
        <v>89.1</v>
      </c>
      <c r="C22" s="22">
        <v>88.2</v>
      </c>
      <c r="D22" s="22">
        <v>0</v>
      </c>
      <c r="E22" s="22">
        <v>76.3</v>
      </c>
      <c r="G22" s="23">
        <v>37.380000000000003</v>
      </c>
      <c r="H22" s="23">
        <v>41.03</v>
      </c>
      <c r="I22" s="23">
        <v>32.33</v>
      </c>
      <c r="J22" s="23">
        <v>30.56</v>
      </c>
      <c r="K22" s="23">
        <v>31.62</v>
      </c>
    </row>
    <row r="23" spans="1:11" x14ac:dyDescent="0.2">
      <c r="A23" s="22">
        <v>74.2</v>
      </c>
      <c r="B23" s="22">
        <v>70</v>
      </c>
      <c r="C23" s="22">
        <v>68.8</v>
      </c>
      <c r="D23" s="22">
        <v>69</v>
      </c>
      <c r="E23" s="22">
        <v>65.5</v>
      </c>
      <c r="G23" s="23">
        <v>18.47</v>
      </c>
      <c r="H23" s="23">
        <v>23.12</v>
      </c>
      <c r="I23" s="23">
        <v>22.81</v>
      </c>
      <c r="J23" s="23">
        <v>21.16</v>
      </c>
      <c r="K23" s="23">
        <v>19.510000000000002</v>
      </c>
    </row>
    <row r="24" spans="1:11" x14ac:dyDescent="0.2">
      <c r="A24" s="22">
        <v>55.3</v>
      </c>
      <c r="B24" s="22">
        <v>60.5</v>
      </c>
      <c r="C24" s="22">
        <v>63.2</v>
      </c>
      <c r="D24" s="22">
        <v>62.9</v>
      </c>
      <c r="E24" s="22">
        <v>62.4</v>
      </c>
      <c r="G24" s="23">
        <v>10.81</v>
      </c>
      <c r="H24" s="23">
        <v>18.45</v>
      </c>
      <c r="I24" s="23">
        <v>16.149999999999999</v>
      </c>
      <c r="J24" s="23">
        <v>15.87</v>
      </c>
      <c r="K24" s="23">
        <v>15.24</v>
      </c>
    </row>
    <row r="25" spans="1:11" x14ac:dyDescent="0.2">
      <c r="A25" s="22">
        <v>45.7</v>
      </c>
      <c r="B25" s="22">
        <v>41.8</v>
      </c>
      <c r="C25" s="22">
        <v>43</v>
      </c>
      <c r="D25" s="22">
        <v>47.3</v>
      </c>
      <c r="E25" s="22">
        <v>37.9</v>
      </c>
      <c r="G25" s="23">
        <v>4.18</v>
      </c>
      <c r="H25" s="23">
        <v>3.83</v>
      </c>
      <c r="I25" s="23">
        <v>4.55</v>
      </c>
      <c r="J25" s="23">
        <v>4.18</v>
      </c>
      <c r="K25" s="23">
        <v>2.68</v>
      </c>
    </row>
    <row r="26" spans="1:11" x14ac:dyDescent="0.2">
      <c r="A26" s="22">
        <v>33.799999999999997</v>
      </c>
      <c r="B26" s="22">
        <v>35.1</v>
      </c>
      <c r="C26" s="22">
        <v>34.9</v>
      </c>
      <c r="D26" s="22">
        <v>34.299999999999997</v>
      </c>
      <c r="E26" s="22">
        <v>33.799999999999997</v>
      </c>
      <c r="G26" s="23">
        <v>6.04</v>
      </c>
      <c r="H26" s="23">
        <v>6.53</v>
      </c>
      <c r="I26" s="23">
        <v>6.95</v>
      </c>
      <c r="J26" s="23">
        <v>6.44</v>
      </c>
      <c r="K26" s="23">
        <v>6.03</v>
      </c>
    </row>
    <row r="27" spans="1:11" x14ac:dyDescent="0.2">
      <c r="A27" s="22">
        <v>44</v>
      </c>
      <c r="B27" s="22">
        <v>44</v>
      </c>
      <c r="C27" s="22">
        <v>39.5</v>
      </c>
      <c r="D27" s="22">
        <v>36.200000000000003</v>
      </c>
      <c r="E27" s="22">
        <v>44.9</v>
      </c>
      <c r="G27" s="23">
        <v>12</v>
      </c>
      <c r="H27" s="23">
        <v>12.1</v>
      </c>
      <c r="I27" s="23">
        <v>15.97</v>
      </c>
      <c r="J27" s="23">
        <v>4.5</v>
      </c>
      <c r="K27" s="23">
        <v>12.16</v>
      </c>
    </row>
    <row r="28" spans="1:11" x14ac:dyDescent="0.2">
      <c r="A28" s="22">
        <v>39.700000000000003</v>
      </c>
      <c r="B28" s="22">
        <v>32.200000000000003</v>
      </c>
      <c r="C28" s="22">
        <v>36.200000000000003</v>
      </c>
      <c r="D28" s="22">
        <v>38.700000000000003</v>
      </c>
      <c r="E28" s="22">
        <v>33.299999999999997</v>
      </c>
      <c r="G28" s="23">
        <v>11.39</v>
      </c>
      <c r="H28" s="23">
        <v>11.21</v>
      </c>
      <c r="I28" s="23">
        <v>11.31</v>
      </c>
      <c r="J28" s="23">
        <v>9.57</v>
      </c>
      <c r="K28" s="23">
        <v>8.6199999999999992</v>
      </c>
    </row>
    <row r="29" spans="1:11" x14ac:dyDescent="0.2">
      <c r="A29" s="22">
        <v>38.299999999999997</v>
      </c>
      <c r="B29" s="22">
        <v>36.299999999999997</v>
      </c>
      <c r="C29" s="22">
        <v>37.1</v>
      </c>
      <c r="D29" s="22">
        <v>39.9</v>
      </c>
      <c r="E29" s="22">
        <v>29.8</v>
      </c>
      <c r="G29" s="23">
        <v>2.75</v>
      </c>
      <c r="H29" s="23">
        <v>6.78</v>
      </c>
      <c r="I29" s="23">
        <v>11.25</v>
      </c>
      <c r="J29" s="23">
        <v>10.119999999999999</v>
      </c>
      <c r="K29" s="23">
        <v>4.63</v>
      </c>
    </row>
    <row r="30" spans="1:11" x14ac:dyDescent="0.2">
      <c r="A30" s="22">
        <v>77.099999999999994</v>
      </c>
      <c r="B30" s="22">
        <v>72</v>
      </c>
      <c r="C30" s="22">
        <v>65.8</v>
      </c>
      <c r="D30" s="22">
        <v>64.3</v>
      </c>
      <c r="E30" s="22">
        <v>54.3</v>
      </c>
      <c r="G30" s="23">
        <v>25.76</v>
      </c>
      <c r="H30" s="23">
        <v>25.63</v>
      </c>
      <c r="I30" s="23">
        <v>29.38</v>
      </c>
      <c r="J30" s="23">
        <v>24.9</v>
      </c>
      <c r="K30" s="23">
        <v>28.71</v>
      </c>
    </row>
    <row r="31" spans="1:11" x14ac:dyDescent="0.2">
      <c r="A31" s="22">
        <v>58.5</v>
      </c>
      <c r="B31" s="22">
        <v>73.599999999999994</v>
      </c>
      <c r="C31" s="22">
        <v>79.099999999999994</v>
      </c>
      <c r="D31" s="22">
        <v>69.7</v>
      </c>
      <c r="E31" s="22">
        <v>55.9</v>
      </c>
      <c r="G31" s="42">
        <f>-168</f>
        <v>-168</v>
      </c>
      <c r="H31" s="23">
        <f>-120</f>
        <v>-120</v>
      </c>
      <c r="I31" s="23">
        <v>-0.66</v>
      </c>
      <c r="J31" s="23">
        <v>6.43</v>
      </c>
      <c r="K31" s="23">
        <f>-1</f>
        <v>-1</v>
      </c>
    </row>
    <row r="32" spans="1:11" x14ac:dyDescent="0.2">
      <c r="A32" s="22">
        <v>47.7</v>
      </c>
      <c r="B32" s="22">
        <v>48.4</v>
      </c>
      <c r="C32" s="22">
        <v>47.3</v>
      </c>
      <c r="D32" s="22">
        <v>45.1</v>
      </c>
      <c r="E32" s="22">
        <v>43.4</v>
      </c>
      <c r="G32" s="23">
        <v>10.4</v>
      </c>
      <c r="H32" s="23">
        <v>7.99</v>
      </c>
      <c r="I32" s="23">
        <v>10.039999999999999</v>
      </c>
      <c r="J32" s="23">
        <v>8.17</v>
      </c>
      <c r="K32" s="23">
        <v>11.23</v>
      </c>
    </row>
    <row r="33" spans="1:11" x14ac:dyDescent="0.2">
      <c r="A33" s="22">
        <v>50.7</v>
      </c>
      <c r="B33" s="22">
        <v>46.1</v>
      </c>
      <c r="C33" s="22">
        <v>38.6</v>
      </c>
      <c r="D33" s="22">
        <v>52.1</v>
      </c>
      <c r="E33" s="22">
        <v>53.6</v>
      </c>
      <c r="G33" s="23">
        <v>14.6</v>
      </c>
      <c r="H33" s="23">
        <v>17.11</v>
      </c>
      <c r="I33" s="23">
        <v>19.239999999999998</v>
      </c>
      <c r="J33" s="23">
        <v>18.510000000000002</v>
      </c>
      <c r="K33" s="23">
        <v>23.91</v>
      </c>
    </row>
    <row r="34" spans="1:11" x14ac:dyDescent="0.2">
      <c r="A34" s="22">
        <v>48</v>
      </c>
      <c r="B34" s="22">
        <v>46</v>
      </c>
      <c r="C34" s="22">
        <v>43.1</v>
      </c>
      <c r="D34" s="22">
        <v>43.1</v>
      </c>
      <c r="E34" s="22">
        <v>47.3</v>
      </c>
      <c r="G34" s="23">
        <v>10.26</v>
      </c>
      <c r="H34" s="23">
        <v>10.28</v>
      </c>
      <c r="I34" s="23">
        <v>13.33</v>
      </c>
      <c r="J34" s="23">
        <v>11.64</v>
      </c>
      <c r="K34" s="23">
        <v>12.81</v>
      </c>
    </row>
    <row r="35" spans="1:11" x14ac:dyDescent="0.2">
      <c r="A35" s="22">
        <v>49.5</v>
      </c>
      <c r="B35" s="22">
        <v>43.8</v>
      </c>
      <c r="C35" s="22">
        <v>41.1</v>
      </c>
      <c r="D35" s="22">
        <v>44</v>
      </c>
      <c r="E35" s="22">
        <v>41</v>
      </c>
      <c r="G35" s="23">
        <v>8.85</v>
      </c>
      <c r="H35" s="23">
        <v>4.87</v>
      </c>
      <c r="I35" s="23">
        <v>3.42</v>
      </c>
      <c r="J35" s="23">
        <v>1.6</v>
      </c>
      <c r="K35" s="23">
        <v>7.39</v>
      </c>
    </row>
    <row r="36" spans="1:11" x14ac:dyDescent="0.2">
      <c r="A36" s="22">
        <v>33.4</v>
      </c>
      <c r="B36" s="22">
        <v>32.1</v>
      </c>
      <c r="C36" s="22">
        <v>32.700000000000003</v>
      </c>
      <c r="D36" s="22">
        <v>31.6</v>
      </c>
      <c r="E36" s="22">
        <v>33.799999999999997</v>
      </c>
      <c r="G36" s="23">
        <v>2.02</v>
      </c>
      <c r="H36" s="23">
        <v>3.22</v>
      </c>
      <c r="I36" s="23">
        <v>3.64</v>
      </c>
      <c r="J36" s="23">
        <v>2.95</v>
      </c>
      <c r="K36" s="23">
        <v>3.91</v>
      </c>
    </row>
    <row r="37" spans="1:11" x14ac:dyDescent="0.2">
      <c r="A37" s="22">
        <v>24.5</v>
      </c>
      <c r="B37" s="22">
        <v>26.3</v>
      </c>
      <c r="C37" s="22">
        <v>27.8</v>
      </c>
      <c r="D37" s="22">
        <v>33.4</v>
      </c>
      <c r="E37" s="22">
        <v>30.2</v>
      </c>
      <c r="G37" s="23">
        <v>6.92</v>
      </c>
      <c r="H37" s="23">
        <v>6.07</v>
      </c>
      <c r="I37" s="23">
        <v>5.16</v>
      </c>
      <c r="J37" s="23">
        <v>5.19</v>
      </c>
      <c r="K37" s="23">
        <v>3.47</v>
      </c>
    </row>
    <row r="38" spans="1:11" x14ac:dyDescent="0.2">
      <c r="A38" s="22">
        <v>32.9</v>
      </c>
      <c r="B38" s="22">
        <v>32.9</v>
      </c>
      <c r="C38" s="22">
        <v>33.9</v>
      </c>
      <c r="D38" s="22">
        <v>33</v>
      </c>
      <c r="E38" s="22">
        <v>28.6</v>
      </c>
      <c r="G38" s="23">
        <v>8.9600000000000009</v>
      </c>
      <c r="H38" s="23">
        <v>8.9600000000000009</v>
      </c>
      <c r="I38" s="23">
        <v>11.7</v>
      </c>
      <c r="J38" s="23">
        <v>14.02</v>
      </c>
      <c r="K38" s="23">
        <v>11.78</v>
      </c>
    </row>
    <row r="39" spans="1:11" x14ac:dyDescent="0.2">
      <c r="A39" s="22">
        <v>58.5</v>
      </c>
      <c r="B39" s="22">
        <v>73.599999999999994</v>
      </c>
      <c r="C39" s="22">
        <v>79.099999999999994</v>
      </c>
      <c r="D39" s="22">
        <v>69.7</v>
      </c>
      <c r="E39" s="22">
        <v>55.9</v>
      </c>
      <c r="G39" s="42">
        <f>-168</f>
        <v>-168</v>
      </c>
      <c r="H39" s="23">
        <f>-120</f>
        <v>-120</v>
      </c>
      <c r="I39" s="23">
        <v>-0.66</v>
      </c>
      <c r="J39" s="23">
        <v>6.43</v>
      </c>
      <c r="K39" s="23">
        <f>-1</f>
        <v>-1</v>
      </c>
    </row>
    <row r="40" spans="1:11" x14ac:dyDescent="0.2">
      <c r="A40" s="22">
        <v>54.3</v>
      </c>
      <c r="B40" s="22">
        <v>53.4</v>
      </c>
      <c r="C40" s="22">
        <v>53.1</v>
      </c>
      <c r="D40" s="22">
        <v>54</v>
      </c>
      <c r="E40" s="22">
        <v>55.5</v>
      </c>
      <c r="G40" s="23">
        <v>22.44</v>
      </c>
      <c r="H40" s="23">
        <v>22.91</v>
      </c>
      <c r="I40" s="23">
        <v>23.11</v>
      </c>
      <c r="J40" s="23">
        <v>20.83</v>
      </c>
      <c r="K40" s="23">
        <v>20.37</v>
      </c>
    </row>
    <row r="41" spans="1:11" x14ac:dyDescent="0.2">
      <c r="A41" s="22">
        <v>65.2</v>
      </c>
      <c r="B41" s="22">
        <v>66.599999999999994</v>
      </c>
      <c r="C41" s="22">
        <v>75.599999999999994</v>
      </c>
      <c r="D41" s="22">
        <v>77.8</v>
      </c>
      <c r="E41" s="22">
        <v>75.7</v>
      </c>
      <c r="G41" s="23">
        <v>13.98</v>
      </c>
      <c r="H41" s="23">
        <v>25.65</v>
      </c>
      <c r="I41" s="23">
        <v>58.85</v>
      </c>
      <c r="J41" s="23">
        <v>54.36</v>
      </c>
      <c r="K41" s="23">
        <v>30.2</v>
      </c>
    </row>
    <row r="42" spans="1:11" x14ac:dyDescent="0.2">
      <c r="A42" s="22">
        <v>34.9</v>
      </c>
      <c r="B42" s="22">
        <v>32</v>
      </c>
      <c r="C42" s="22">
        <v>34.200000000000003</v>
      </c>
      <c r="D42" s="22">
        <v>35.1</v>
      </c>
      <c r="E42" s="22">
        <v>33.299999999999997</v>
      </c>
      <c r="G42" s="23">
        <v>10.57</v>
      </c>
      <c r="H42" s="23">
        <v>6.18</v>
      </c>
      <c r="I42" s="23">
        <v>10.94</v>
      </c>
      <c r="J42" s="23">
        <v>13.87</v>
      </c>
      <c r="K42" s="23">
        <v>11.21</v>
      </c>
    </row>
    <row r="43" spans="1:11" x14ac:dyDescent="0.2">
      <c r="A43" s="22">
        <v>55.2</v>
      </c>
      <c r="B43" s="22">
        <v>51.6</v>
      </c>
      <c r="C43" s="22">
        <v>49.2</v>
      </c>
      <c r="D43" s="22">
        <v>47</v>
      </c>
      <c r="E43" s="22">
        <v>41.7</v>
      </c>
      <c r="G43" s="23">
        <v>11.12</v>
      </c>
      <c r="H43" s="23">
        <v>10.58</v>
      </c>
      <c r="I43" s="23">
        <v>10.14</v>
      </c>
      <c r="J43" s="23">
        <v>5.25</v>
      </c>
      <c r="K43" s="23">
        <v>10.62</v>
      </c>
    </row>
    <row r="44" spans="1:11" x14ac:dyDescent="0.2">
      <c r="A44" s="22">
        <v>57.5</v>
      </c>
      <c r="B44" s="22">
        <v>55.6</v>
      </c>
      <c r="C44" s="22">
        <v>46.6</v>
      </c>
      <c r="D44" s="22">
        <v>42.5</v>
      </c>
      <c r="E44" s="22">
        <v>45.8</v>
      </c>
      <c r="G44" s="23">
        <v>11.57</v>
      </c>
      <c r="H44" s="23">
        <v>14.06</v>
      </c>
      <c r="I44" s="23">
        <v>17.670000000000002</v>
      </c>
      <c r="J44" s="23">
        <v>13.37</v>
      </c>
      <c r="K44" s="23">
        <v>9.2200000000000006</v>
      </c>
    </row>
    <row r="45" spans="1:11" x14ac:dyDescent="0.2">
      <c r="A45" s="22">
        <v>56.3</v>
      </c>
      <c r="B45" s="22">
        <v>57.7</v>
      </c>
      <c r="C45" s="22">
        <v>55.5</v>
      </c>
      <c r="D45" s="22">
        <v>46.7</v>
      </c>
      <c r="E45" s="22">
        <v>45.8</v>
      </c>
      <c r="G45" s="23">
        <v>12.26</v>
      </c>
      <c r="H45" s="23">
        <v>13.31</v>
      </c>
      <c r="I45" s="23">
        <v>16.2</v>
      </c>
      <c r="J45" s="23">
        <v>16.07</v>
      </c>
      <c r="K45" s="23">
        <v>8.9700000000000006</v>
      </c>
    </row>
    <row r="46" spans="1:11" x14ac:dyDescent="0.2">
      <c r="A46" s="22">
        <v>52.8</v>
      </c>
      <c r="B46" s="22">
        <v>46.8</v>
      </c>
      <c r="C46" s="22">
        <v>44</v>
      </c>
      <c r="D46" s="22">
        <v>43.7</v>
      </c>
      <c r="E46" s="22">
        <v>41.2</v>
      </c>
      <c r="G46" s="23">
        <v>7.22</v>
      </c>
      <c r="H46" s="23">
        <v>4.7300000000000004</v>
      </c>
      <c r="I46" s="23">
        <v>4.66</v>
      </c>
      <c r="J46" s="23">
        <v>5.43</v>
      </c>
      <c r="K46" s="23">
        <v>7.07</v>
      </c>
    </row>
    <row r="47" spans="1:11" x14ac:dyDescent="0.2">
      <c r="A47" s="22">
        <v>26.2</v>
      </c>
      <c r="B47" s="22">
        <v>27.9</v>
      </c>
      <c r="C47" s="22">
        <v>33.4</v>
      </c>
      <c r="D47" s="22">
        <v>31.3</v>
      </c>
      <c r="E47" s="22">
        <v>47.4</v>
      </c>
      <c r="G47" s="23">
        <v>6.42</v>
      </c>
      <c r="H47" s="23">
        <v>3.28</v>
      </c>
      <c r="I47" s="23">
        <v>7.77</v>
      </c>
      <c r="J47" s="23">
        <v>1.79</v>
      </c>
      <c r="K47" s="23">
        <v>7.61</v>
      </c>
    </row>
    <row r="48" spans="1:11" x14ac:dyDescent="0.2">
      <c r="A48" s="22">
        <v>58.4</v>
      </c>
      <c r="B48" s="22">
        <v>68.400000000000006</v>
      </c>
      <c r="C48" s="22">
        <v>71.099999999999994</v>
      </c>
      <c r="D48" s="22">
        <v>56.9</v>
      </c>
      <c r="E48" s="22">
        <v>53.4</v>
      </c>
      <c r="G48" s="23">
        <v>44.93</v>
      </c>
      <c r="H48" s="23">
        <v>42.52</v>
      </c>
      <c r="I48" s="23">
        <v>30.79</v>
      </c>
      <c r="J48" s="23">
        <v>20.399999999999999</v>
      </c>
      <c r="K48" s="23">
        <v>23.57</v>
      </c>
    </row>
    <row r="49" spans="1:11" x14ac:dyDescent="0.2">
      <c r="A49" s="22">
        <v>59.3</v>
      </c>
      <c r="B49" s="22">
        <v>59.7</v>
      </c>
      <c r="C49" s="22">
        <v>62</v>
      </c>
      <c r="D49" s="22">
        <v>55.4</v>
      </c>
      <c r="E49" s="22">
        <v>57.2</v>
      </c>
      <c r="G49" s="23">
        <v>22.61</v>
      </c>
      <c r="H49" s="23">
        <v>25.1</v>
      </c>
      <c r="I49" s="23">
        <v>23.38</v>
      </c>
      <c r="J49" s="23">
        <v>21.07</v>
      </c>
      <c r="K49" s="23">
        <v>23</v>
      </c>
    </row>
    <row r="50" spans="1:11" x14ac:dyDescent="0.2">
      <c r="A50" s="22">
        <v>39</v>
      </c>
      <c r="B50" s="22">
        <v>37.5</v>
      </c>
      <c r="C50" s="22">
        <v>34.799999999999997</v>
      </c>
      <c r="D50" s="22">
        <v>33.299999999999997</v>
      </c>
      <c r="E50" s="22">
        <v>38.299999999999997</v>
      </c>
      <c r="G50" s="23">
        <v>16.04</v>
      </c>
      <c r="H50" s="23">
        <v>16.489999999999998</v>
      </c>
      <c r="I50" s="23">
        <v>10.17</v>
      </c>
      <c r="J50" s="23">
        <v>8.5299999999999994</v>
      </c>
      <c r="K50" s="23">
        <v>5.79</v>
      </c>
    </row>
    <row r="51" spans="1:11" x14ac:dyDescent="0.2">
      <c r="A51" s="22">
        <v>64.8</v>
      </c>
      <c r="B51" s="22">
        <v>58.5</v>
      </c>
      <c r="C51" s="22">
        <v>64.900000000000006</v>
      </c>
      <c r="D51" s="22">
        <v>60.6</v>
      </c>
      <c r="E51" s="22">
        <v>56</v>
      </c>
      <c r="G51" s="23">
        <v>16.57</v>
      </c>
      <c r="H51" s="23">
        <v>15.21</v>
      </c>
      <c r="I51" s="23">
        <v>19.41</v>
      </c>
      <c r="J51" s="23">
        <v>14.73</v>
      </c>
      <c r="K51" s="23">
        <v>13.33</v>
      </c>
    </row>
    <row r="52" spans="1:11" x14ac:dyDescent="0.2">
      <c r="A52" s="22">
        <v>28.8</v>
      </c>
      <c r="B52" s="22">
        <v>27.9</v>
      </c>
      <c r="C52" s="22">
        <v>29.3</v>
      </c>
      <c r="D52" s="22">
        <v>29.3</v>
      </c>
      <c r="E52" s="22">
        <v>27.7</v>
      </c>
      <c r="G52" s="23">
        <v>4.9800000000000004</v>
      </c>
      <c r="H52" s="23">
        <v>5.03</v>
      </c>
      <c r="I52" s="23">
        <v>0</v>
      </c>
      <c r="J52" s="23">
        <v>6.14</v>
      </c>
      <c r="K52" s="23">
        <v>6.65</v>
      </c>
    </row>
    <row r="53" spans="1:11" x14ac:dyDescent="0.2">
      <c r="A53" s="22">
        <v>41.3</v>
      </c>
      <c r="B53" s="22">
        <v>38.9</v>
      </c>
      <c r="C53" s="22">
        <v>42.5</v>
      </c>
      <c r="D53" s="22">
        <v>39.200000000000003</v>
      </c>
      <c r="E53" s="22">
        <v>41.2</v>
      </c>
      <c r="G53" s="23">
        <v>8</v>
      </c>
      <c r="H53" s="23">
        <v>6.29</v>
      </c>
      <c r="I53" s="23">
        <v>13.28</v>
      </c>
      <c r="J53" s="23">
        <v>8.84</v>
      </c>
      <c r="K53" s="23">
        <v>8.77</v>
      </c>
    </row>
    <row r="54" spans="1:11" x14ac:dyDescent="0.2">
      <c r="A54" s="22">
        <v>46.3</v>
      </c>
      <c r="B54" s="22">
        <v>44.2</v>
      </c>
      <c r="C54" s="22">
        <v>46.8</v>
      </c>
      <c r="D54" s="22">
        <v>48</v>
      </c>
      <c r="E54" s="22">
        <v>40.799999999999997</v>
      </c>
      <c r="G54" s="23">
        <v>13.28</v>
      </c>
      <c r="H54" s="23">
        <v>13.56</v>
      </c>
      <c r="I54" s="23">
        <v>13.14</v>
      </c>
      <c r="J54" s="23">
        <v>11.89</v>
      </c>
      <c r="K54" s="23">
        <v>11.74</v>
      </c>
    </row>
    <row r="55" spans="1:11" x14ac:dyDescent="0.2">
      <c r="A55" s="22">
        <v>67.8</v>
      </c>
      <c r="B55" s="22">
        <v>65.3</v>
      </c>
      <c r="C55" s="22">
        <v>65.8</v>
      </c>
      <c r="D55" s="22">
        <v>69.099999999999994</v>
      </c>
      <c r="E55" s="22">
        <v>67.400000000000006</v>
      </c>
      <c r="G55" s="23">
        <v>28.02</v>
      </c>
      <c r="H55" s="23">
        <v>22.2</v>
      </c>
      <c r="I55" s="23">
        <v>27.65</v>
      </c>
      <c r="J55" s="23">
        <v>40.36</v>
      </c>
      <c r="K55" s="23">
        <v>42.55</v>
      </c>
    </row>
    <row r="56" spans="1:11" x14ac:dyDescent="0.2">
      <c r="A56" s="22">
        <v>68.400000000000006</v>
      </c>
      <c r="B56" s="22">
        <v>63.8</v>
      </c>
      <c r="C56" s="22">
        <v>60.5</v>
      </c>
      <c r="D56" s="22">
        <v>73.5</v>
      </c>
      <c r="E56" s="22">
        <v>76.3</v>
      </c>
      <c r="G56" s="23">
        <v>20.32</v>
      </c>
      <c r="H56" s="23">
        <v>8.94</v>
      </c>
      <c r="I56" s="23">
        <v>4.38</v>
      </c>
      <c r="J56" s="23">
        <v>18.25</v>
      </c>
      <c r="K56" s="23">
        <v>26.2</v>
      </c>
    </row>
    <row r="57" spans="1:11" x14ac:dyDescent="0.2">
      <c r="A57" s="22">
        <v>54.3</v>
      </c>
      <c r="B57" s="22">
        <v>54.1</v>
      </c>
      <c r="C57" s="22">
        <v>55</v>
      </c>
      <c r="D57" s="22">
        <v>51.8</v>
      </c>
      <c r="E57" s="22">
        <v>50.5</v>
      </c>
      <c r="G57" s="23">
        <v>11.67</v>
      </c>
      <c r="H57" s="23">
        <v>11.43</v>
      </c>
      <c r="I57" s="23">
        <v>12.11</v>
      </c>
      <c r="J57" s="23">
        <v>10.42</v>
      </c>
      <c r="K57" s="23">
        <v>9.49</v>
      </c>
    </row>
    <row r="58" spans="1:11" x14ac:dyDescent="0.2">
      <c r="A58" s="22">
        <v>26.5</v>
      </c>
      <c r="B58" s="22">
        <v>35.799999999999997</v>
      </c>
      <c r="C58" s="22">
        <v>34.4</v>
      </c>
      <c r="D58" s="22">
        <v>32.9</v>
      </c>
      <c r="E58" s="22">
        <v>31</v>
      </c>
      <c r="G58" s="23">
        <v>9.66</v>
      </c>
      <c r="H58" s="23">
        <v>12.95</v>
      </c>
      <c r="I58" s="23">
        <v>14.26</v>
      </c>
      <c r="J58" s="23">
        <v>12.42</v>
      </c>
      <c r="K58" s="23">
        <v>12.74</v>
      </c>
    </row>
    <row r="59" spans="1:11" x14ac:dyDescent="0.2">
      <c r="A59" s="22">
        <v>59.1</v>
      </c>
      <c r="B59" s="22">
        <v>55</v>
      </c>
      <c r="C59" s="22">
        <v>61.3</v>
      </c>
      <c r="D59" s="22">
        <v>50</v>
      </c>
      <c r="E59" s="22">
        <v>55</v>
      </c>
      <c r="G59" s="23">
        <v>5.44</v>
      </c>
      <c r="H59" s="23">
        <v>7.93</v>
      </c>
      <c r="I59" s="23">
        <v>7.98</v>
      </c>
      <c r="J59" s="23">
        <v>10.01</v>
      </c>
      <c r="K59" s="23">
        <v>9.85</v>
      </c>
    </row>
    <row r="60" spans="1:11" x14ac:dyDescent="0.2">
      <c r="A60" s="22">
        <v>49.8</v>
      </c>
      <c r="B60" s="22">
        <v>47.1</v>
      </c>
      <c r="C60" s="22">
        <v>49.2</v>
      </c>
      <c r="D60" s="22">
        <v>47.4</v>
      </c>
      <c r="E60" s="22">
        <v>46.3</v>
      </c>
      <c r="G60" s="23">
        <v>34.17</v>
      </c>
      <c r="H60" s="23">
        <v>27.58</v>
      </c>
      <c r="I60" s="23">
        <v>70.3</v>
      </c>
      <c r="J60" s="23">
        <v>23.97</v>
      </c>
      <c r="K60" s="23">
        <v>109</v>
      </c>
    </row>
    <row r="61" spans="1:11" x14ac:dyDescent="0.2">
      <c r="A61" s="22">
        <v>44.4</v>
      </c>
      <c r="B61" s="22">
        <v>44.5</v>
      </c>
      <c r="C61" s="22">
        <v>42.8</v>
      </c>
      <c r="D61" s="22">
        <v>47.4</v>
      </c>
      <c r="E61" s="22">
        <v>45</v>
      </c>
      <c r="G61" s="23">
        <v>19.670000000000002</v>
      </c>
      <c r="H61" s="23">
        <v>18.440000000000001</v>
      </c>
      <c r="I61" s="23">
        <v>17.989999999999998</v>
      </c>
      <c r="J61" s="23">
        <v>16.43</v>
      </c>
      <c r="K61" s="23">
        <v>14.9</v>
      </c>
    </row>
    <row r="62" spans="1:11" x14ac:dyDescent="0.2">
      <c r="A62" s="22">
        <v>38</v>
      </c>
      <c r="B62" s="22">
        <v>30.9</v>
      </c>
      <c r="C62" s="22">
        <v>20.3</v>
      </c>
      <c r="D62" s="22">
        <v>30.4</v>
      </c>
      <c r="E62" s="22">
        <v>21.9</v>
      </c>
      <c r="G62" s="23">
        <v>20.010000000000002</v>
      </c>
      <c r="H62" s="23">
        <v>18.71</v>
      </c>
      <c r="I62" s="23">
        <v>18.88</v>
      </c>
      <c r="J62" s="23">
        <v>24.77</v>
      </c>
      <c r="K62" s="23">
        <v>18.149999999999999</v>
      </c>
    </row>
    <row r="63" spans="1:11" x14ac:dyDescent="0.2">
      <c r="A63" s="22">
        <v>35</v>
      </c>
      <c r="B63" s="22">
        <v>39.200000000000003</v>
      </c>
      <c r="C63" s="22">
        <v>37</v>
      </c>
      <c r="D63" s="22">
        <v>35.200000000000003</v>
      </c>
      <c r="E63" s="22">
        <v>36.1</v>
      </c>
      <c r="G63" s="23">
        <v>10.119999999999999</v>
      </c>
      <c r="H63" s="23">
        <v>10.54</v>
      </c>
      <c r="I63" s="23">
        <v>9.18</v>
      </c>
      <c r="J63" s="23">
        <v>7.1</v>
      </c>
      <c r="K63" s="23">
        <v>11.8</v>
      </c>
    </row>
    <row r="64" spans="1:11" x14ac:dyDescent="0.2">
      <c r="A64" s="22">
        <v>21.1</v>
      </c>
      <c r="B64" s="22">
        <v>25</v>
      </c>
      <c r="C64" s="22">
        <v>22.6</v>
      </c>
      <c r="D64" s="22">
        <v>20.8</v>
      </c>
      <c r="E64" s="22">
        <v>18.100000000000001</v>
      </c>
      <c r="G64" s="27">
        <v>-4.09</v>
      </c>
      <c r="H64" s="27">
        <v>-8.1999999999999993</v>
      </c>
      <c r="I64" s="23">
        <v>50.71</v>
      </c>
      <c r="J64" s="23">
        <v>20.75</v>
      </c>
      <c r="K64" s="23">
        <v>9.74</v>
      </c>
    </row>
    <row r="65" spans="1:11" x14ac:dyDescent="0.2">
      <c r="A65" s="22">
        <v>25.6</v>
      </c>
      <c r="B65" s="22">
        <v>25.9</v>
      </c>
      <c r="C65" s="22">
        <v>30.7</v>
      </c>
      <c r="D65" s="22">
        <v>40.299999999999997</v>
      </c>
      <c r="E65" s="22">
        <v>31.1</v>
      </c>
      <c r="G65" s="23">
        <v>4.29</v>
      </c>
      <c r="H65" s="23">
        <v>3.87</v>
      </c>
      <c r="I65" s="23">
        <v>11.9</v>
      </c>
      <c r="J65" s="23">
        <v>6.24</v>
      </c>
      <c r="K65" s="23">
        <v>5.61</v>
      </c>
    </row>
    <row r="66" spans="1:11" x14ac:dyDescent="0.2">
      <c r="A66" s="22">
        <v>37.6</v>
      </c>
      <c r="B66" s="22">
        <v>36.799999999999997</v>
      </c>
      <c r="C66" s="22">
        <v>39.1</v>
      </c>
      <c r="D66" s="22">
        <v>37.1</v>
      </c>
      <c r="E66" s="22">
        <v>33.4</v>
      </c>
      <c r="G66" s="23">
        <v>5.43</v>
      </c>
      <c r="H66" s="23">
        <v>5.52</v>
      </c>
      <c r="I66" s="23">
        <v>7.34</v>
      </c>
      <c r="J66" s="23">
        <v>6.5</v>
      </c>
      <c r="K66" s="23">
        <v>0</v>
      </c>
    </row>
    <row r="67" spans="1:11" x14ac:dyDescent="0.2">
      <c r="A67" s="22">
        <v>78.400000000000006</v>
      </c>
      <c r="B67" s="22">
        <v>74.2</v>
      </c>
      <c r="C67" s="22">
        <v>45.9</v>
      </c>
      <c r="D67" s="22">
        <v>35.6</v>
      </c>
      <c r="E67" s="22">
        <v>57.8</v>
      </c>
      <c r="G67" s="23">
        <v>19.010000000000002</v>
      </c>
      <c r="H67" s="23">
        <v>17.46</v>
      </c>
      <c r="I67" s="23">
        <v>3.56</v>
      </c>
      <c r="J67" s="23">
        <v>2.5499999999999998</v>
      </c>
      <c r="K67" s="27">
        <v>-9.34</v>
      </c>
    </row>
    <row r="68" spans="1:11" x14ac:dyDescent="0.2">
      <c r="A68" s="22">
        <v>62.9</v>
      </c>
      <c r="B68" s="22">
        <v>63.5</v>
      </c>
      <c r="C68" s="22">
        <v>64.5</v>
      </c>
      <c r="D68" s="22">
        <v>63.2</v>
      </c>
      <c r="E68" s="22">
        <v>61.9</v>
      </c>
      <c r="G68" s="23">
        <v>22.34</v>
      </c>
      <c r="H68" s="23">
        <v>17.64</v>
      </c>
      <c r="I68" s="23">
        <v>22.87</v>
      </c>
      <c r="J68" s="23">
        <v>23.29</v>
      </c>
      <c r="K68" s="23">
        <v>26.31</v>
      </c>
    </row>
    <row r="69" spans="1:11" x14ac:dyDescent="0.2">
      <c r="A69" s="22">
        <v>22.9</v>
      </c>
      <c r="B69" s="22">
        <v>24.3</v>
      </c>
      <c r="C69" s="22">
        <v>19.899999999999999</v>
      </c>
      <c r="D69" s="22">
        <v>13.9</v>
      </c>
      <c r="E69" s="22">
        <v>10.199999999999999</v>
      </c>
      <c r="G69" s="23">
        <v>3.31</v>
      </c>
      <c r="H69" s="23">
        <v>2.56</v>
      </c>
      <c r="I69" s="23">
        <v>3.45</v>
      </c>
      <c r="J69" s="23">
        <v>2.58</v>
      </c>
      <c r="K69" s="23">
        <v>2.2799999999999998</v>
      </c>
    </row>
    <row r="70" spans="1:11" x14ac:dyDescent="0.2">
      <c r="A70" s="22">
        <v>60.1</v>
      </c>
      <c r="B70" s="22">
        <v>53.8</v>
      </c>
      <c r="C70" s="22">
        <v>59.6</v>
      </c>
      <c r="D70" s="22">
        <v>53.3</v>
      </c>
      <c r="E70" s="22">
        <v>44.7</v>
      </c>
      <c r="G70" s="23">
        <v>16.68</v>
      </c>
      <c r="H70" s="23">
        <v>17.059999999999999</v>
      </c>
      <c r="I70" s="23">
        <v>15.02</v>
      </c>
      <c r="J70" s="23">
        <v>9.02</v>
      </c>
      <c r="K70" s="23">
        <v>7.88</v>
      </c>
    </row>
    <row r="71" spans="1:11" x14ac:dyDescent="0.2">
      <c r="A71" s="22">
        <v>44.3</v>
      </c>
      <c r="B71" s="22">
        <v>51.7</v>
      </c>
      <c r="C71" s="22">
        <v>49.4</v>
      </c>
      <c r="D71" s="22">
        <v>45.9</v>
      </c>
      <c r="E71" s="22">
        <v>47</v>
      </c>
      <c r="G71" s="23">
        <v>15.94</v>
      </c>
      <c r="H71" s="23">
        <v>15.72</v>
      </c>
      <c r="I71" s="23">
        <v>14.9</v>
      </c>
      <c r="J71" s="23">
        <v>15.23</v>
      </c>
      <c r="K71" s="23">
        <v>12.88</v>
      </c>
    </row>
    <row r="72" spans="1:11" x14ac:dyDescent="0.2">
      <c r="A72" s="22">
        <v>31.8</v>
      </c>
      <c r="B72" s="22">
        <v>36.9</v>
      </c>
      <c r="C72" s="22">
        <v>46.3</v>
      </c>
      <c r="D72" s="22">
        <v>40</v>
      </c>
      <c r="E72" s="22">
        <v>39.4</v>
      </c>
      <c r="G72" s="27">
        <v>-0.53</v>
      </c>
      <c r="H72" s="23">
        <v>3.07</v>
      </c>
      <c r="I72" s="23">
        <v>8.43</v>
      </c>
      <c r="J72" s="23">
        <v>3.48</v>
      </c>
      <c r="K72" s="23">
        <v>8.1300000000000008</v>
      </c>
    </row>
    <row r="73" spans="1:11" x14ac:dyDescent="0.2">
      <c r="A73" s="22">
        <v>55.6</v>
      </c>
      <c r="B73" s="22">
        <v>53.9</v>
      </c>
      <c r="C73" s="22">
        <v>47.4</v>
      </c>
      <c r="D73" s="22">
        <v>42.6</v>
      </c>
      <c r="E73" s="22">
        <v>48.4</v>
      </c>
      <c r="G73" s="23">
        <v>7.19</v>
      </c>
      <c r="H73" s="23">
        <v>8.64</v>
      </c>
      <c r="I73" s="23">
        <v>12.63</v>
      </c>
      <c r="J73" s="23">
        <v>11.41</v>
      </c>
      <c r="K73" s="23">
        <v>11.4</v>
      </c>
    </row>
    <row r="74" spans="1:11" x14ac:dyDescent="0.2">
      <c r="A74" s="22">
        <v>3.5</v>
      </c>
      <c r="B74" s="22">
        <v>2.9</v>
      </c>
      <c r="C74" s="22">
        <v>2.6</v>
      </c>
      <c r="D74" s="22">
        <v>2.5</v>
      </c>
      <c r="E74" s="22">
        <v>2.6</v>
      </c>
      <c r="G74" s="23">
        <v>54.79</v>
      </c>
      <c r="H74" s="23">
        <v>46.68</v>
      </c>
      <c r="I74" s="23">
        <v>55.44</v>
      </c>
      <c r="J74" s="23">
        <v>42.59</v>
      </c>
      <c r="K74" s="23">
        <v>22.33</v>
      </c>
    </row>
    <row r="75" spans="1:11" x14ac:dyDescent="0.2">
      <c r="A75" s="22">
        <v>67.900000000000006</v>
      </c>
      <c r="B75" s="22">
        <v>56.7</v>
      </c>
      <c r="C75" s="22">
        <v>66.900000000000006</v>
      </c>
      <c r="D75" s="22">
        <v>68.599999999999994</v>
      </c>
      <c r="E75" s="22">
        <v>61.8</v>
      </c>
      <c r="G75" s="23">
        <v>15.28</v>
      </c>
      <c r="H75" s="23">
        <v>15.64</v>
      </c>
      <c r="I75" s="23">
        <v>15.34</v>
      </c>
      <c r="J75" s="23">
        <v>12.46</v>
      </c>
      <c r="K75" s="23">
        <v>11.28</v>
      </c>
    </row>
    <row r="76" spans="1:11" x14ac:dyDescent="0.2">
      <c r="A76" s="22">
        <v>29.4</v>
      </c>
      <c r="B76" s="22">
        <v>27</v>
      </c>
      <c r="C76" s="22">
        <v>29</v>
      </c>
      <c r="D76" s="22">
        <v>29.5</v>
      </c>
      <c r="E76" s="22">
        <v>31.7</v>
      </c>
      <c r="G76" s="23">
        <v>5.15</v>
      </c>
      <c r="H76" s="23">
        <v>4.29</v>
      </c>
      <c r="I76" s="23">
        <v>5.21</v>
      </c>
      <c r="J76" s="23">
        <v>6.71</v>
      </c>
      <c r="K76" s="23">
        <v>5</v>
      </c>
    </row>
    <row r="77" spans="1:11" x14ac:dyDescent="0.2">
      <c r="A77" s="22">
        <v>24.9</v>
      </c>
      <c r="B77" s="22">
        <v>21.7</v>
      </c>
      <c r="C77" s="22">
        <v>20.9</v>
      </c>
      <c r="D77" s="22">
        <v>20.6</v>
      </c>
      <c r="E77" s="22">
        <v>18.2</v>
      </c>
      <c r="G77" s="23">
        <v>5.33</v>
      </c>
      <c r="H77" s="23">
        <v>5.69</v>
      </c>
      <c r="I77" s="23">
        <v>4.87</v>
      </c>
      <c r="J77" s="23">
        <v>5.19</v>
      </c>
      <c r="K77" s="23">
        <v>3.53</v>
      </c>
    </row>
    <row r="78" spans="1:11" x14ac:dyDescent="0.2">
      <c r="A78" s="22">
        <v>38.700000000000003</v>
      </c>
      <c r="B78" s="22">
        <v>40.700000000000003</v>
      </c>
      <c r="C78" s="22">
        <v>35.299999999999997</v>
      </c>
      <c r="D78" s="22">
        <v>35.4</v>
      </c>
      <c r="E78" s="22">
        <v>34.299999999999997</v>
      </c>
      <c r="G78" s="23">
        <v>9.7899999999999991</v>
      </c>
      <c r="H78" s="23">
        <v>8.26</v>
      </c>
      <c r="I78" s="23">
        <v>7.69</v>
      </c>
      <c r="J78" s="23">
        <v>4.3600000000000003</v>
      </c>
      <c r="K78" s="23">
        <v>8.83</v>
      </c>
    </row>
    <row r="79" spans="1:11" x14ac:dyDescent="0.2">
      <c r="A79" s="22">
        <v>50.3</v>
      </c>
      <c r="B79" s="22">
        <v>49.6</v>
      </c>
      <c r="C79" s="22">
        <v>49.6</v>
      </c>
      <c r="D79" s="22">
        <v>54.6</v>
      </c>
      <c r="E79" s="22">
        <v>51.4</v>
      </c>
      <c r="G79" s="23">
        <v>18.36</v>
      </c>
      <c r="H79" s="23">
        <v>20.84</v>
      </c>
      <c r="I79" s="23">
        <v>19.71</v>
      </c>
      <c r="J79" s="23">
        <v>14.33</v>
      </c>
      <c r="K79" s="23">
        <v>13.44</v>
      </c>
    </row>
    <row r="80" spans="1:11" x14ac:dyDescent="0.2">
      <c r="A80" s="22">
        <v>36</v>
      </c>
      <c r="B80" s="22">
        <v>33.5</v>
      </c>
      <c r="C80" s="22">
        <v>30.1</v>
      </c>
      <c r="D80" s="22">
        <v>29.4</v>
      </c>
      <c r="E80" s="22">
        <v>27.7</v>
      </c>
      <c r="G80" s="23">
        <v>3.73</v>
      </c>
      <c r="H80" s="23">
        <v>2.42</v>
      </c>
      <c r="I80" s="23">
        <v>2.2200000000000002</v>
      </c>
      <c r="J80" s="23">
        <v>3.53</v>
      </c>
      <c r="K80" s="23">
        <v>4.3</v>
      </c>
    </row>
    <row r="81" spans="1:11" x14ac:dyDescent="0.2">
      <c r="A81" s="22">
        <v>48.9</v>
      </c>
      <c r="B81" s="22">
        <v>47.4</v>
      </c>
      <c r="C81" s="22">
        <v>49.3</v>
      </c>
      <c r="D81" s="22">
        <v>54.2</v>
      </c>
      <c r="E81" s="22">
        <v>54.1</v>
      </c>
      <c r="G81" s="23">
        <v>18.760000000000002</v>
      </c>
      <c r="H81" s="23">
        <v>20.48</v>
      </c>
      <c r="I81" s="23">
        <v>20.32</v>
      </c>
      <c r="J81" s="23">
        <v>21.88</v>
      </c>
      <c r="K81" s="23">
        <v>18.41</v>
      </c>
    </row>
    <row r="82" spans="1:11" x14ac:dyDescent="0.2">
      <c r="A82" s="22">
        <v>31.5</v>
      </c>
      <c r="B82" s="22">
        <v>31.5</v>
      </c>
      <c r="C82" s="22">
        <v>32.799999999999997</v>
      </c>
      <c r="D82" s="22">
        <v>29.9</v>
      </c>
      <c r="E82" s="22">
        <v>31.5</v>
      </c>
      <c r="G82" s="23">
        <v>3.47</v>
      </c>
      <c r="H82" s="23">
        <v>5.05</v>
      </c>
      <c r="I82" s="23">
        <v>4.45</v>
      </c>
      <c r="J82" s="23">
        <v>3.61</v>
      </c>
      <c r="K82" s="23">
        <v>4.75</v>
      </c>
    </row>
    <row r="83" spans="1:11" x14ac:dyDescent="0.2">
      <c r="A83" s="22">
        <v>63.4</v>
      </c>
      <c r="B83" s="22">
        <v>60.1</v>
      </c>
      <c r="C83" s="22">
        <v>59.7</v>
      </c>
      <c r="D83" s="22">
        <v>64.599999999999994</v>
      </c>
      <c r="E83" s="22">
        <v>40</v>
      </c>
      <c r="G83" s="23">
        <v>13.13</v>
      </c>
      <c r="H83" s="27">
        <v>-3.61</v>
      </c>
      <c r="I83" s="23">
        <v>15.77</v>
      </c>
      <c r="J83" s="23">
        <v>14.54</v>
      </c>
      <c r="K83" s="23">
        <v>8.2100000000000009</v>
      </c>
    </row>
    <row r="84" spans="1:11" x14ac:dyDescent="0.2">
      <c r="A84" s="22">
        <v>36.200000000000003</v>
      </c>
      <c r="B84" s="22">
        <v>36.4</v>
      </c>
      <c r="C84" s="22">
        <v>32.9</v>
      </c>
      <c r="D84" s="22">
        <v>30.7</v>
      </c>
      <c r="E84" s="22">
        <v>26.1</v>
      </c>
      <c r="G84" s="23">
        <v>4.07</v>
      </c>
      <c r="H84" s="23">
        <v>6.68</v>
      </c>
      <c r="I84" s="23">
        <v>6</v>
      </c>
      <c r="J84" s="23">
        <v>8.08</v>
      </c>
      <c r="K84" s="23">
        <v>4.58</v>
      </c>
    </row>
    <row r="85" spans="1:11" x14ac:dyDescent="0.2">
      <c r="A85" s="22">
        <v>39.799999999999997</v>
      </c>
      <c r="B85" s="22">
        <v>42.1</v>
      </c>
      <c r="C85" s="22">
        <v>40.1</v>
      </c>
      <c r="D85" s="22">
        <v>41.7</v>
      </c>
      <c r="E85" s="22">
        <v>50.3</v>
      </c>
      <c r="G85" s="23">
        <v>16.34</v>
      </c>
      <c r="H85" s="23">
        <v>24.03</v>
      </c>
      <c r="I85" s="23">
        <v>11.94</v>
      </c>
      <c r="J85" s="23">
        <v>18.670000000000002</v>
      </c>
      <c r="K85" s="23">
        <v>24.41</v>
      </c>
    </row>
    <row r="86" spans="1:11" x14ac:dyDescent="0.2">
      <c r="A86" s="22">
        <v>62.9</v>
      </c>
      <c r="B86" s="22">
        <v>61.2</v>
      </c>
      <c r="C86" s="22">
        <v>65.599999999999994</v>
      </c>
      <c r="D86" s="22">
        <v>60.9</v>
      </c>
      <c r="E86" s="22">
        <v>64.2</v>
      </c>
      <c r="G86" s="23">
        <v>14.98</v>
      </c>
      <c r="H86" s="27">
        <v>-0.83</v>
      </c>
      <c r="I86" s="23">
        <v>21.83</v>
      </c>
      <c r="J86" s="23">
        <v>2.76</v>
      </c>
      <c r="K86" s="23">
        <v>3.22</v>
      </c>
    </row>
    <row r="87" spans="1:11" x14ac:dyDescent="0.2">
      <c r="A87" s="22">
        <v>61.2</v>
      </c>
      <c r="B87" s="22">
        <v>59</v>
      </c>
      <c r="C87" s="22">
        <v>48.7</v>
      </c>
      <c r="D87" s="22">
        <v>49.6</v>
      </c>
      <c r="E87" s="22">
        <v>47.9</v>
      </c>
      <c r="G87" s="23">
        <v>11.86</v>
      </c>
      <c r="H87" s="23">
        <v>15.66</v>
      </c>
      <c r="I87" s="23">
        <v>19.36</v>
      </c>
      <c r="J87" s="23">
        <v>25.18</v>
      </c>
      <c r="K87" s="23">
        <v>30.86</v>
      </c>
    </row>
    <row r="88" spans="1:11" x14ac:dyDescent="0.2">
      <c r="A88" s="22">
        <v>46.3</v>
      </c>
      <c r="B88" s="22">
        <v>41.3</v>
      </c>
      <c r="C88" s="22">
        <v>47.8</v>
      </c>
      <c r="D88" s="22">
        <v>40.9</v>
      </c>
      <c r="E88" s="22">
        <v>36.700000000000003</v>
      </c>
      <c r="G88" s="23">
        <v>7.4</v>
      </c>
      <c r="H88" s="23">
        <v>9.02</v>
      </c>
      <c r="I88" s="23">
        <v>8.9</v>
      </c>
      <c r="J88" s="23">
        <v>8.74</v>
      </c>
      <c r="K88" s="23">
        <v>6.21</v>
      </c>
    </row>
    <row r="89" spans="1:11" x14ac:dyDescent="0.2">
      <c r="A89" s="22">
        <v>41.5</v>
      </c>
      <c r="B89" s="22">
        <v>45.4</v>
      </c>
      <c r="C89" s="22">
        <v>43.7</v>
      </c>
      <c r="D89" s="22">
        <v>37.799999999999997</v>
      </c>
      <c r="E89" s="22">
        <v>37.1</v>
      </c>
      <c r="G89" s="23">
        <v>8.59</v>
      </c>
      <c r="H89" s="23">
        <v>9.2899999999999991</v>
      </c>
      <c r="I89" s="23">
        <v>9.1</v>
      </c>
      <c r="J89" s="23">
        <v>8.2200000000000006</v>
      </c>
      <c r="K89" s="23">
        <v>9.2100000000000009</v>
      </c>
    </row>
    <row r="90" spans="1:11" x14ac:dyDescent="0.2">
      <c r="A90" s="22">
        <v>45.7</v>
      </c>
      <c r="B90" s="22">
        <v>50.5</v>
      </c>
      <c r="C90" s="22">
        <v>47.7</v>
      </c>
      <c r="D90" s="22">
        <v>41.8</v>
      </c>
      <c r="E90" s="22">
        <v>37.1</v>
      </c>
      <c r="G90" s="23">
        <v>18.61</v>
      </c>
      <c r="H90" s="23">
        <v>20.32</v>
      </c>
      <c r="I90" s="23">
        <v>24.14</v>
      </c>
      <c r="J90" s="23">
        <v>31.58</v>
      </c>
      <c r="K90" s="23">
        <v>31.85</v>
      </c>
    </row>
    <row r="91" spans="1:11" x14ac:dyDescent="0.2">
      <c r="A91" s="22">
        <v>34.5</v>
      </c>
      <c r="B91" s="22">
        <v>35</v>
      </c>
      <c r="C91" s="22">
        <v>41.9</v>
      </c>
      <c r="D91" s="22">
        <v>47.9</v>
      </c>
      <c r="E91" s="22">
        <v>43.6</v>
      </c>
      <c r="G91" s="23">
        <v>19.38</v>
      </c>
      <c r="H91" s="23">
        <v>23.59</v>
      </c>
      <c r="I91" s="23">
        <v>17.940000000000001</v>
      </c>
      <c r="J91" s="23">
        <v>0.09</v>
      </c>
      <c r="K91" s="23">
        <v>14.69</v>
      </c>
    </row>
    <row r="92" spans="1:11" x14ac:dyDescent="0.2">
      <c r="A92" s="22">
        <v>33.200000000000003</v>
      </c>
      <c r="B92" s="22">
        <v>38.6</v>
      </c>
      <c r="C92" s="22">
        <v>35.6</v>
      </c>
      <c r="D92" s="22">
        <v>31.9</v>
      </c>
      <c r="E92" s="22">
        <v>29.9</v>
      </c>
      <c r="G92" s="27">
        <v>-6.9</v>
      </c>
      <c r="H92" s="23">
        <v>10.43</v>
      </c>
      <c r="I92" s="23">
        <v>14.01</v>
      </c>
      <c r="J92" s="23">
        <v>12.67</v>
      </c>
      <c r="K92" s="23">
        <v>4.6500000000000004</v>
      </c>
    </row>
    <row r="93" spans="1:11" x14ac:dyDescent="0.2">
      <c r="A93" s="22">
        <v>23.6</v>
      </c>
      <c r="B93" s="22">
        <v>28.8</v>
      </c>
      <c r="C93" s="22">
        <v>34.1</v>
      </c>
      <c r="D93" s="22">
        <v>27.7</v>
      </c>
      <c r="E93" s="22">
        <v>34.5</v>
      </c>
      <c r="G93" s="23">
        <v>6.92</v>
      </c>
      <c r="H93" s="27">
        <v>-9.84</v>
      </c>
      <c r="I93" s="23">
        <v>17.7</v>
      </c>
      <c r="J93" s="27">
        <v>-19.47</v>
      </c>
      <c r="K93" s="23">
        <v>14.86</v>
      </c>
    </row>
    <row r="94" spans="1:11" x14ac:dyDescent="0.2">
      <c r="A94" s="22">
        <v>62.5</v>
      </c>
      <c r="B94" s="22">
        <v>56.1</v>
      </c>
      <c r="C94" s="22">
        <v>57.1</v>
      </c>
      <c r="D94" s="22">
        <v>62.2</v>
      </c>
      <c r="E94" s="22">
        <v>52.3</v>
      </c>
      <c r="G94" s="23">
        <v>17.350000000000001</v>
      </c>
      <c r="H94" s="23">
        <v>17.14</v>
      </c>
      <c r="I94" s="23">
        <v>22.67</v>
      </c>
      <c r="J94" s="23">
        <v>20.46</v>
      </c>
      <c r="K94" s="23">
        <v>17.12</v>
      </c>
    </row>
    <row r="95" spans="1:11" x14ac:dyDescent="0.2">
      <c r="A95" s="22">
        <v>70.099999999999994</v>
      </c>
      <c r="B95" s="22">
        <v>48.6</v>
      </c>
      <c r="C95" s="22">
        <v>59.3</v>
      </c>
      <c r="D95" s="22">
        <v>53.8</v>
      </c>
      <c r="E95" s="22">
        <v>51.9</v>
      </c>
      <c r="G95" s="23">
        <v>16.16</v>
      </c>
      <c r="H95" s="23">
        <v>16.690000000000001</v>
      </c>
      <c r="I95" s="23">
        <v>15.17</v>
      </c>
      <c r="J95" s="23">
        <v>12.25</v>
      </c>
      <c r="K95" s="23">
        <v>2.84</v>
      </c>
    </row>
    <row r="96" spans="1:11" x14ac:dyDescent="0.2">
      <c r="A96" s="22">
        <v>52.6</v>
      </c>
      <c r="B96" s="22">
        <v>53.2</v>
      </c>
      <c r="C96" s="22">
        <v>48.9</v>
      </c>
      <c r="D96" s="22">
        <v>46.5</v>
      </c>
      <c r="E96" s="22">
        <v>43.4</v>
      </c>
      <c r="G96" s="23">
        <v>18.87</v>
      </c>
      <c r="H96" s="23">
        <v>17.440000000000001</v>
      </c>
      <c r="I96" s="23">
        <v>20.78</v>
      </c>
      <c r="J96" s="23">
        <v>18.850000000000001</v>
      </c>
      <c r="K96" s="23">
        <v>19.62</v>
      </c>
    </row>
    <row r="97" spans="1:11" x14ac:dyDescent="0.2">
      <c r="A97" s="22">
        <v>61.4</v>
      </c>
      <c r="B97" s="22">
        <v>60.8</v>
      </c>
      <c r="C97" s="22">
        <v>58.7</v>
      </c>
      <c r="D97" s="22">
        <v>58.7</v>
      </c>
      <c r="E97" s="22">
        <v>57.8</v>
      </c>
      <c r="G97" s="23">
        <v>14.98</v>
      </c>
      <c r="H97" s="23">
        <v>11.7</v>
      </c>
      <c r="I97" s="23">
        <v>12.75</v>
      </c>
      <c r="J97" s="23">
        <v>11.43</v>
      </c>
      <c r="K97" s="23">
        <v>11.77</v>
      </c>
    </row>
    <row r="98" spans="1:11" x14ac:dyDescent="0.2">
      <c r="A98" s="28">
        <v>-5.5</v>
      </c>
      <c r="B98" s="22">
        <v>40.799999999999997</v>
      </c>
      <c r="C98" s="22">
        <v>42.6</v>
      </c>
      <c r="D98" s="22">
        <v>20.3</v>
      </c>
      <c r="E98" s="22">
        <v>9.8000000000000007</v>
      </c>
      <c r="G98" s="27">
        <v>-54.95</v>
      </c>
      <c r="H98" s="23">
        <v>2.91</v>
      </c>
      <c r="I98" s="23">
        <v>4.68</v>
      </c>
      <c r="J98" s="23">
        <v>26.58</v>
      </c>
      <c r="K98" s="23">
        <v>4.91</v>
      </c>
    </row>
    <row r="99" spans="1:11" x14ac:dyDescent="0.2">
      <c r="A99" s="22">
        <v>77.900000000000006</v>
      </c>
      <c r="B99" s="22">
        <v>81.400000000000006</v>
      </c>
      <c r="C99" s="22">
        <v>78.900000000000006</v>
      </c>
      <c r="D99" s="22">
        <v>87.3</v>
      </c>
      <c r="E99" s="22">
        <v>83.9</v>
      </c>
      <c r="G99" s="27">
        <v>-101.65</v>
      </c>
      <c r="H99" s="23">
        <v>20.28</v>
      </c>
      <c r="I99" s="23">
        <v>28.01</v>
      </c>
      <c r="J99" s="23">
        <v>30.48</v>
      </c>
      <c r="K99" s="23">
        <v>33.47</v>
      </c>
    </row>
    <row r="100" spans="1:11" x14ac:dyDescent="0.2">
      <c r="A100" s="22">
        <v>33.5</v>
      </c>
      <c r="B100" s="22">
        <v>31.7</v>
      </c>
      <c r="C100" s="22">
        <v>33.299999999999997</v>
      </c>
      <c r="D100" s="22">
        <v>49.5</v>
      </c>
      <c r="E100" s="22">
        <v>38.200000000000003</v>
      </c>
      <c r="G100" s="23">
        <v>8.81</v>
      </c>
      <c r="H100" s="23">
        <v>8.64</v>
      </c>
      <c r="I100" s="23">
        <v>10.26</v>
      </c>
      <c r="J100" s="23">
        <v>6.78</v>
      </c>
      <c r="K100" s="23">
        <v>2.11</v>
      </c>
    </row>
    <row r="101" spans="1:11" x14ac:dyDescent="0.2">
      <c r="A101" s="22">
        <v>43.9</v>
      </c>
      <c r="B101" s="22">
        <v>42.4</v>
      </c>
      <c r="C101" s="22">
        <v>38.4</v>
      </c>
      <c r="D101" s="22">
        <v>42.3</v>
      </c>
      <c r="E101" s="22">
        <v>38.4</v>
      </c>
      <c r="G101" s="23">
        <v>9.4</v>
      </c>
      <c r="H101" s="23">
        <v>10.57</v>
      </c>
      <c r="I101" s="23">
        <v>14.77</v>
      </c>
      <c r="J101" s="23">
        <v>12.57</v>
      </c>
      <c r="K101" s="23">
        <v>11.21</v>
      </c>
    </row>
    <row r="102" spans="1:11" x14ac:dyDescent="0.2">
      <c r="G102" s="23"/>
      <c r="H102" s="23"/>
      <c r="I102" s="23"/>
      <c r="J102" s="23"/>
      <c r="K102" s="23"/>
    </row>
    <row r="103" spans="1:11" x14ac:dyDescent="0.2">
      <c r="G103" s="44"/>
      <c r="H103" s="44"/>
      <c r="I103" s="44"/>
      <c r="J103" s="44"/>
      <c r="K103" s="44"/>
    </row>
    <row r="104" spans="1:11" x14ac:dyDescent="0.2">
      <c r="G104" s="45"/>
      <c r="H104" s="45"/>
      <c r="I104" s="45"/>
      <c r="J104" s="45"/>
      <c r="K104" s="45"/>
    </row>
    <row r="105" spans="1:11" x14ac:dyDescent="0.2">
      <c r="G105" s="39"/>
      <c r="H105" s="44"/>
      <c r="I105" s="44"/>
      <c r="J105" s="44"/>
      <c r="K105" s="44"/>
    </row>
    <row r="106" spans="1:11" x14ac:dyDescent="0.2">
      <c r="G106" s="44"/>
      <c r="H106" s="44"/>
      <c r="I106" s="44"/>
      <c r="J106" s="44"/>
      <c r="K106" s="44"/>
    </row>
    <row r="107" spans="1:11" x14ac:dyDescent="0.2">
      <c r="G107" s="44"/>
      <c r="H107" s="44"/>
      <c r="I107" s="44"/>
      <c r="J107" s="44"/>
      <c r="K107" s="44"/>
    </row>
    <row r="108" spans="1:11" x14ac:dyDescent="0.2">
      <c r="G108" s="46"/>
      <c r="H108" s="46"/>
      <c r="I108" s="44"/>
      <c r="J108" s="44"/>
      <c r="K108" s="44"/>
    </row>
    <row r="109" spans="1:11" x14ac:dyDescent="0.2">
      <c r="G109" s="44"/>
      <c r="H109" s="44"/>
      <c r="I109" s="44"/>
      <c r="J109" s="44"/>
      <c r="K109" s="44"/>
    </row>
    <row r="110" spans="1:11" x14ac:dyDescent="0.2">
      <c r="G110" s="44"/>
      <c r="H110" s="44"/>
      <c r="I110" s="44"/>
      <c r="J110" s="44"/>
      <c r="K110" s="44"/>
    </row>
    <row r="111" spans="1:11" x14ac:dyDescent="0.2">
      <c r="G111" s="44"/>
      <c r="H111" s="44"/>
      <c r="I111" s="44"/>
      <c r="J111" s="44"/>
      <c r="K111" s="44"/>
    </row>
    <row r="112" spans="1:11" x14ac:dyDescent="0.2">
      <c r="G112" s="44"/>
      <c r="H112" s="44"/>
      <c r="I112" s="44"/>
      <c r="J112" s="44"/>
      <c r="K112" s="44"/>
    </row>
    <row r="113" spans="7:11" x14ac:dyDescent="0.2">
      <c r="G113" s="44"/>
      <c r="H113" s="44"/>
      <c r="I113" s="44"/>
      <c r="J113" s="44"/>
      <c r="K113" s="44"/>
    </row>
    <row r="114" spans="7:11" x14ac:dyDescent="0.2">
      <c r="G114" s="44"/>
      <c r="H114" s="44"/>
      <c r="I114" s="44"/>
      <c r="J114" s="44"/>
      <c r="K114" s="44"/>
    </row>
    <row r="115" spans="7:11" x14ac:dyDescent="0.2">
      <c r="G115" s="44"/>
      <c r="H115" s="44"/>
      <c r="I115" s="44"/>
      <c r="J115" s="44"/>
      <c r="K115" s="44"/>
    </row>
    <row r="116" spans="7:11" x14ac:dyDescent="0.2">
      <c r="G116" s="44"/>
      <c r="H116" s="44"/>
      <c r="I116" s="44"/>
      <c r="J116" s="44"/>
      <c r="K116" s="44"/>
    </row>
    <row r="117" spans="7:11" x14ac:dyDescent="0.2">
      <c r="G117" s="44"/>
      <c r="H117" s="44"/>
      <c r="I117" s="44"/>
      <c r="J117" s="44"/>
      <c r="K117" s="44"/>
    </row>
    <row r="118" spans="7:11" x14ac:dyDescent="0.2">
      <c r="G118" s="44"/>
      <c r="H118" s="44"/>
      <c r="I118" s="44"/>
      <c r="J118" s="46"/>
      <c r="K118" s="44"/>
    </row>
    <row r="119" spans="7:11" x14ac:dyDescent="0.2">
      <c r="G119" s="44"/>
      <c r="H119" s="44"/>
      <c r="I119" s="44"/>
      <c r="J119" s="44"/>
      <c r="K119" s="44"/>
    </row>
    <row r="120" spans="7:11" x14ac:dyDescent="0.2">
      <c r="G120" s="44"/>
      <c r="H120" s="44"/>
      <c r="I120" s="44"/>
      <c r="J120" s="44"/>
      <c r="K120" s="44"/>
    </row>
    <row r="121" spans="7:11" x14ac:dyDescent="0.2">
      <c r="G121" s="44"/>
      <c r="H121" s="44"/>
      <c r="I121" s="44"/>
      <c r="J121" s="44"/>
      <c r="K121" s="44"/>
    </row>
    <row r="122" spans="7:11" x14ac:dyDescent="0.2">
      <c r="G122" s="46"/>
      <c r="H122" s="44"/>
      <c r="I122" s="44"/>
      <c r="J122" s="44"/>
      <c r="K122" s="44"/>
    </row>
    <row r="123" spans="7:11" x14ac:dyDescent="0.2">
      <c r="G123" s="44"/>
      <c r="H123" s="44"/>
      <c r="I123" s="44"/>
      <c r="J123" s="44"/>
      <c r="K123" s="44"/>
    </row>
    <row r="124" spans="7:11" x14ac:dyDescent="0.2">
      <c r="G124" s="44"/>
      <c r="H124" s="44"/>
      <c r="I124" s="44"/>
      <c r="J124" s="44"/>
      <c r="K124" s="44"/>
    </row>
    <row r="125" spans="7:11" x14ac:dyDescent="0.2">
      <c r="G125" s="44"/>
      <c r="H125" s="44"/>
      <c r="I125" s="44"/>
      <c r="J125" s="44"/>
      <c r="K125" s="44"/>
    </row>
    <row r="126" spans="7:11" x14ac:dyDescent="0.2">
      <c r="G126" s="44"/>
      <c r="H126" s="44"/>
      <c r="I126" s="44"/>
      <c r="J126" s="44"/>
      <c r="K126" s="44"/>
    </row>
    <row r="127" spans="7:11" x14ac:dyDescent="0.2">
      <c r="G127" s="44"/>
      <c r="H127" s="44"/>
      <c r="I127" s="44"/>
      <c r="J127" s="44"/>
      <c r="K127" s="44"/>
    </row>
    <row r="128" spans="7:11" x14ac:dyDescent="0.2">
      <c r="G128" s="44"/>
      <c r="H128" s="44"/>
      <c r="I128" s="44"/>
      <c r="J128" s="44"/>
      <c r="K128" s="44"/>
    </row>
    <row r="129" spans="7:11" x14ac:dyDescent="0.2">
      <c r="G129" s="44"/>
      <c r="H129" s="44"/>
      <c r="I129" s="44"/>
      <c r="J129" s="44"/>
      <c r="K129" s="44"/>
    </row>
    <row r="130" spans="7:11" x14ac:dyDescent="0.2">
      <c r="G130" s="44"/>
      <c r="H130" s="44"/>
      <c r="I130" s="44"/>
      <c r="J130" s="44"/>
      <c r="K130" s="44"/>
    </row>
    <row r="131" spans="7:11" x14ac:dyDescent="0.2">
      <c r="G131" s="44"/>
      <c r="H131" s="44"/>
      <c r="I131" s="44"/>
      <c r="J131" s="44"/>
      <c r="K131" s="44"/>
    </row>
    <row r="132" spans="7:11" x14ac:dyDescent="0.2">
      <c r="G132" s="44"/>
      <c r="H132" s="44"/>
      <c r="I132" s="44"/>
      <c r="J132" s="44"/>
      <c r="K132" s="44"/>
    </row>
    <row r="133" spans="7:11" x14ac:dyDescent="0.2">
      <c r="G133" s="44"/>
      <c r="H133" s="44"/>
      <c r="I133" s="44"/>
      <c r="J133" s="44"/>
      <c r="K133" s="44"/>
    </row>
    <row r="134" spans="7:11" x14ac:dyDescent="0.2">
      <c r="G134" s="47"/>
      <c r="H134" s="44"/>
      <c r="I134" s="44"/>
      <c r="J134" s="44"/>
      <c r="K134" s="44"/>
    </row>
    <row r="135" spans="7:11" x14ac:dyDescent="0.2">
      <c r="G135" s="44"/>
      <c r="H135" s="44"/>
      <c r="I135" s="44"/>
      <c r="J135" s="44"/>
      <c r="K135" s="44"/>
    </row>
    <row r="136" spans="7:11" x14ac:dyDescent="0.2">
      <c r="G136" s="44"/>
      <c r="H136" s="44"/>
      <c r="I136" s="44"/>
      <c r="J136" s="44"/>
      <c r="K136" s="44"/>
    </row>
    <row r="137" spans="7:11" x14ac:dyDescent="0.2">
      <c r="G137" s="44"/>
      <c r="H137" s="44"/>
      <c r="I137" s="44"/>
      <c r="J137" s="44"/>
      <c r="K137" s="44"/>
    </row>
    <row r="138" spans="7:11" x14ac:dyDescent="0.2">
      <c r="G138" s="44"/>
      <c r="H138" s="44"/>
      <c r="I138" s="44"/>
      <c r="J138" s="44"/>
      <c r="K138" s="44"/>
    </row>
    <row r="139" spans="7:11" x14ac:dyDescent="0.2">
      <c r="G139" s="44"/>
      <c r="H139" s="44"/>
      <c r="I139" s="44"/>
      <c r="J139" s="44"/>
      <c r="K139" s="44"/>
    </row>
    <row r="140" spans="7:11" x14ac:dyDescent="0.2">
      <c r="G140" s="44"/>
      <c r="H140" s="44"/>
      <c r="I140" s="44"/>
      <c r="J140" s="44"/>
      <c r="K140" s="44"/>
    </row>
    <row r="141" spans="7:11" x14ac:dyDescent="0.2">
      <c r="G141" s="44"/>
      <c r="H141" s="44"/>
      <c r="I141" s="44"/>
      <c r="J141" s="44"/>
      <c r="K141" s="44"/>
    </row>
    <row r="142" spans="7:11" x14ac:dyDescent="0.2">
      <c r="G142" s="44"/>
      <c r="H142" s="44"/>
      <c r="I142" s="44"/>
      <c r="J142" s="44"/>
      <c r="K142" s="44"/>
    </row>
    <row r="143" spans="7:11" x14ac:dyDescent="0.2">
      <c r="G143" s="44"/>
      <c r="H143" s="44"/>
      <c r="I143" s="44"/>
      <c r="J143" s="44"/>
      <c r="K143" s="44"/>
    </row>
    <row r="144" spans="7:11" x14ac:dyDescent="0.2">
      <c r="G144" s="44"/>
      <c r="H144" s="44"/>
      <c r="I144" s="44"/>
      <c r="J144" s="44"/>
      <c r="K144" s="44"/>
    </row>
    <row r="145" spans="7:11" x14ac:dyDescent="0.2">
      <c r="G145" s="44"/>
      <c r="H145" s="44"/>
      <c r="I145" s="44"/>
      <c r="J145" s="44"/>
      <c r="K145" s="44"/>
    </row>
    <row r="146" spans="7:11" x14ac:dyDescent="0.2">
      <c r="G146" s="44"/>
      <c r="H146" s="44"/>
      <c r="I146" s="44"/>
      <c r="J146" s="44"/>
      <c r="K146" s="44"/>
    </row>
    <row r="147" spans="7:11" x14ac:dyDescent="0.2">
      <c r="G147" s="44"/>
      <c r="H147" s="44"/>
      <c r="I147" s="44"/>
      <c r="J147" s="44"/>
      <c r="K147" s="44"/>
    </row>
    <row r="148" spans="7:11" x14ac:dyDescent="0.2">
      <c r="G148" s="44"/>
      <c r="H148" s="44"/>
      <c r="I148" s="44"/>
      <c r="J148" s="44"/>
      <c r="K148" s="44"/>
    </row>
    <row r="149" spans="7:11" x14ac:dyDescent="0.2">
      <c r="G149" s="44"/>
      <c r="H149" s="44"/>
      <c r="I149" s="44"/>
      <c r="J149" s="44"/>
      <c r="K149" s="44"/>
    </row>
    <row r="150" spans="7:11" x14ac:dyDescent="0.2">
      <c r="G150" s="44"/>
      <c r="H150" s="44"/>
      <c r="I150" s="44"/>
      <c r="J150" s="44"/>
      <c r="K150" s="44"/>
    </row>
    <row r="151" spans="7:11" x14ac:dyDescent="0.2">
      <c r="G151" s="44"/>
      <c r="H151" s="44"/>
      <c r="I151" s="44"/>
      <c r="J151" s="44"/>
      <c r="K151" s="44"/>
    </row>
    <row r="152" spans="7:11" x14ac:dyDescent="0.2">
      <c r="G152" s="44"/>
      <c r="H152" s="44"/>
      <c r="I152" s="44"/>
      <c r="J152" s="44"/>
      <c r="K152" s="44"/>
    </row>
    <row r="153" spans="7:11" x14ac:dyDescent="0.2">
      <c r="G153" s="44"/>
      <c r="H153" s="44"/>
      <c r="I153" s="44"/>
      <c r="J153" s="44"/>
      <c r="K153" s="44"/>
    </row>
    <row r="154" spans="7:11" x14ac:dyDescent="0.2">
      <c r="G154" s="44"/>
      <c r="H154" s="44"/>
      <c r="I154" s="44"/>
      <c r="J154" s="44"/>
      <c r="K154" s="44"/>
    </row>
    <row r="155" spans="7:11" x14ac:dyDescent="0.2">
      <c r="G155" s="44"/>
      <c r="H155" s="44"/>
      <c r="I155" s="44"/>
      <c r="J155" s="44"/>
      <c r="K155" s="44"/>
    </row>
    <row r="156" spans="7:11" x14ac:dyDescent="0.2">
      <c r="G156" s="44"/>
      <c r="H156" s="44"/>
      <c r="I156" s="44"/>
      <c r="J156" s="44"/>
      <c r="K156" s="44"/>
    </row>
    <row r="157" spans="7:11" x14ac:dyDescent="0.2">
      <c r="G157" s="44"/>
      <c r="H157" s="44"/>
      <c r="I157" s="44"/>
      <c r="J157" s="44"/>
      <c r="K157" s="44"/>
    </row>
    <row r="158" spans="7:11" x14ac:dyDescent="0.2">
      <c r="G158" s="44"/>
      <c r="H158" s="44"/>
      <c r="I158" s="44"/>
      <c r="J158" s="44"/>
      <c r="K158" s="44"/>
    </row>
    <row r="159" spans="7:11" x14ac:dyDescent="0.2">
      <c r="G159" s="44"/>
      <c r="H159" s="44"/>
      <c r="I159" s="44"/>
      <c r="J159" s="44"/>
      <c r="K159" s="44"/>
    </row>
    <row r="160" spans="7:11" x14ac:dyDescent="0.2">
      <c r="G160" s="44"/>
      <c r="H160" s="44"/>
      <c r="I160" s="44"/>
      <c r="J160" s="44"/>
      <c r="K160" s="44"/>
    </row>
    <row r="161" spans="7:11" x14ac:dyDescent="0.2">
      <c r="G161" s="44"/>
      <c r="H161" s="44"/>
      <c r="I161" s="44"/>
      <c r="J161" s="44"/>
      <c r="K161" s="44"/>
    </row>
    <row r="162" spans="7:11" x14ac:dyDescent="0.2">
      <c r="G162" s="44"/>
      <c r="H162" s="44"/>
      <c r="I162" s="44"/>
      <c r="J162" s="44"/>
      <c r="K162" s="44"/>
    </row>
    <row r="163" spans="7:11" x14ac:dyDescent="0.2">
      <c r="G163" s="44"/>
      <c r="H163" s="44"/>
      <c r="I163" s="44"/>
      <c r="J163" s="44"/>
      <c r="K163" s="44"/>
    </row>
    <row r="164" spans="7:11" x14ac:dyDescent="0.2">
      <c r="G164" s="44"/>
      <c r="H164" s="44"/>
      <c r="I164" s="44"/>
      <c r="J164" s="44"/>
      <c r="K164" s="44"/>
    </row>
    <row r="165" spans="7:11" x14ac:dyDescent="0.2">
      <c r="G165" s="44"/>
      <c r="H165" s="44"/>
      <c r="I165" s="44"/>
      <c r="J165" s="44"/>
      <c r="K165" s="44"/>
    </row>
    <row r="166" spans="7:11" x14ac:dyDescent="0.2">
      <c r="G166" s="44"/>
      <c r="H166" s="44"/>
      <c r="I166" s="44"/>
      <c r="J166" s="44"/>
      <c r="K166" s="44"/>
    </row>
    <row r="167" spans="7:11" x14ac:dyDescent="0.2">
      <c r="G167" s="46"/>
      <c r="H167" s="46"/>
      <c r="I167" s="44"/>
      <c r="J167" s="44"/>
      <c r="K167" s="44"/>
    </row>
    <row r="168" spans="7:11" x14ac:dyDescent="0.2">
      <c r="G168" s="44"/>
      <c r="H168" s="44"/>
      <c r="I168" s="44"/>
      <c r="J168" s="44"/>
      <c r="K168" s="44"/>
    </row>
    <row r="169" spans="7:11" x14ac:dyDescent="0.2">
      <c r="G169" s="44"/>
      <c r="H169" s="44"/>
      <c r="I169" s="44"/>
      <c r="J169" s="44"/>
      <c r="K169" s="44"/>
    </row>
    <row r="170" spans="7:11" x14ac:dyDescent="0.2">
      <c r="G170" s="44"/>
      <c r="H170" s="44"/>
      <c r="I170" s="44"/>
      <c r="J170" s="44"/>
      <c r="K170" s="46"/>
    </row>
    <row r="171" spans="7:11" x14ac:dyDescent="0.2">
      <c r="G171" s="44"/>
      <c r="H171" s="44"/>
      <c r="I171" s="44"/>
      <c r="J171" s="44"/>
      <c r="K171" s="44"/>
    </row>
    <row r="172" spans="7:11" x14ac:dyDescent="0.2">
      <c r="G172" s="44"/>
      <c r="H172" s="44"/>
      <c r="I172" s="44"/>
      <c r="J172" s="44"/>
      <c r="K172" s="44"/>
    </row>
    <row r="173" spans="7:11" x14ac:dyDescent="0.2">
      <c r="G173" s="44"/>
      <c r="H173" s="44"/>
      <c r="I173" s="44"/>
      <c r="J173" s="44"/>
      <c r="K173" s="44"/>
    </row>
    <row r="174" spans="7:11" x14ac:dyDescent="0.2">
      <c r="G174" s="44"/>
      <c r="H174" s="44"/>
      <c r="I174" s="44"/>
      <c r="J174" s="44"/>
      <c r="K174" s="44"/>
    </row>
    <row r="175" spans="7:11" x14ac:dyDescent="0.2">
      <c r="G175" s="46"/>
      <c r="H175" s="44"/>
      <c r="I175" s="44"/>
      <c r="J175" s="44"/>
      <c r="K175" s="44"/>
    </row>
    <row r="176" spans="7:11" x14ac:dyDescent="0.2">
      <c r="G176" s="44"/>
      <c r="H176" s="44"/>
      <c r="I176" s="44"/>
      <c r="J176" s="44"/>
      <c r="K176" s="44"/>
    </row>
    <row r="177" spans="7:11" x14ac:dyDescent="0.2">
      <c r="G177" s="44"/>
      <c r="H177" s="44"/>
      <c r="I177" s="44"/>
      <c r="J177" s="44"/>
      <c r="K177" s="44"/>
    </row>
    <row r="178" spans="7:11" x14ac:dyDescent="0.2">
      <c r="G178" s="44"/>
      <c r="H178" s="44"/>
      <c r="I178" s="44"/>
      <c r="J178" s="44"/>
      <c r="K178" s="44"/>
    </row>
    <row r="179" spans="7:11" x14ac:dyDescent="0.2">
      <c r="G179" s="44"/>
      <c r="H179" s="44"/>
      <c r="I179" s="44"/>
      <c r="J179" s="44"/>
      <c r="K179" s="44"/>
    </row>
    <row r="180" spans="7:11" x14ac:dyDescent="0.2">
      <c r="G180" s="44"/>
      <c r="H180" s="44"/>
      <c r="I180" s="44"/>
      <c r="J180" s="44"/>
      <c r="K180" s="44"/>
    </row>
    <row r="181" spans="7:11" x14ac:dyDescent="0.2">
      <c r="G181" s="44"/>
      <c r="H181" s="44"/>
      <c r="I181" s="44"/>
      <c r="J181" s="44"/>
      <c r="K181" s="44"/>
    </row>
    <row r="182" spans="7:11" x14ac:dyDescent="0.2">
      <c r="G182" s="44"/>
      <c r="H182" s="44"/>
      <c r="I182" s="44"/>
      <c r="J182" s="44"/>
      <c r="K182" s="44"/>
    </row>
    <row r="183" spans="7:11" x14ac:dyDescent="0.2">
      <c r="G183" s="44"/>
      <c r="H183" s="44"/>
      <c r="I183" s="44"/>
      <c r="J183" s="44"/>
      <c r="K183" s="44"/>
    </row>
    <row r="184" spans="7:11" x14ac:dyDescent="0.2">
      <c r="G184" s="44"/>
      <c r="H184" s="44"/>
      <c r="I184" s="44"/>
      <c r="J184" s="44"/>
      <c r="K184" s="44"/>
    </row>
    <row r="185" spans="7:11" x14ac:dyDescent="0.2">
      <c r="G185" s="44"/>
      <c r="H185" s="44"/>
      <c r="I185" s="44"/>
      <c r="J185" s="44"/>
      <c r="K185" s="44"/>
    </row>
    <row r="186" spans="7:11" x14ac:dyDescent="0.2">
      <c r="G186" s="44"/>
      <c r="H186" s="46"/>
      <c r="I186" s="44"/>
      <c r="J186" s="44"/>
      <c r="K186" s="44"/>
    </row>
    <row r="187" spans="7:11" x14ac:dyDescent="0.2">
      <c r="G187" s="44"/>
      <c r="H187" s="44"/>
      <c r="I187" s="44"/>
      <c r="J187" s="44"/>
      <c r="K187" s="44"/>
    </row>
    <row r="188" spans="7:11" x14ac:dyDescent="0.2">
      <c r="G188" s="44"/>
      <c r="H188" s="44"/>
      <c r="I188" s="44"/>
      <c r="J188" s="44"/>
      <c r="K188" s="44"/>
    </row>
    <row r="189" spans="7:11" x14ac:dyDescent="0.2">
      <c r="G189" s="44"/>
      <c r="H189" s="46"/>
      <c r="I189" s="44"/>
      <c r="J189" s="44"/>
      <c r="K189" s="44"/>
    </row>
    <row r="190" spans="7:11" x14ac:dyDescent="0.2">
      <c r="G190" s="44"/>
      <c r="H190" s="44"/>
      <c r="I190" s="44"/>
      <c r="J190" s="44"/>
      <c r="K190" s="44"/>
    </row>
    <row r="191" spans="7:11" x14ac:dyDescent="0.2">
      <c r="G191" s="44"/>
      <c r="H191" s="44"/>
      <c r="I191" s="44"/>
      <c r="J191" s="44"/>
      <c r="K191" s="44"/>
    </row>
    <row r="192" spans="7:11" x14ac:dyDescent="0.2">
      <c r="G192" s="44"/>
      <c r="H192" s="44"/>
      <c r="I192" s="44"/>
      <c r="J192" s="44"/>
      <c r="K192" s="44"/>
    </row>
    <row r="193" spans="7:11" x14ac:dyDescent="0.2">
      <c r="G193" s="44"/>
      <c r="H193" s="44"/>
      <c r="I193" s="44"/>
      <c r="J193" s="44"/>
      <c r="K193" s="44"/>
    </row>
    <row r="194" spans="7:11" x14ac:dyDescent="0.2">
      <c r="G194" s="44"/>
      <c r="H194" s="44"/>
      <c r="I194" s="44"/>
      <c r="J194" s="44"/>
      <c r="K194" s="44"/>
    </row>
    <row r="195" spans="7:11" x14ac:dyDescent="0.2">
      <c r="G195" s="46"/>
      <c r="H195" s="44"/>
      <c r="I195" s="44"/>
      <c r="J195" s="44"/>
      <c r="K195" s="44"/>
    </row>
    <row r="196" spans="7:11" x14ac:dyDescent="0.2">
      <c r="G196" s="44"/>
      <c r="H196" s="46"/>
      <c r="I196" s="44"/>
      <c r="J196" s="46"/>
      <c r="K196" s="44"/>
    </row>
    <row r="197" spans="7:11" x14ac:dyDescent="0.2">
      <c r="G197" s="44"/>
      <c r="H197" s="44"/>
      <c r="I197" s="44"/>
      <c r="J197" s="44"/>
      <c r="K197" s="44"/>
    </row>
    <row r="198" spans="7:11" x14ac:dyDescent="0.2">
      <c r="G198" s="44"/>
      <c r="H198" s="44"/>
      <c r="I198" s="44"/>
      <c r="J198" s="44"/>
      <c r="K198" s="44"/>
    </row>
    <row r="199" spans="7:11" x14ac:dyDescent="0.2">
      <c r="G199" s="44"/>
      <c r="H199" s="44"/>
      <c r="I199" s="44"/>
      <c r="J199" s="44"/>
      <c r="K199" s="44"/>
    </row>
    <row r="200" spans="7:11" x14ac:dyDescent="0.2">
      <c r="G200" s="44"/>
      <c r="H200" s="44"/>
      <c r="I200" s="44"/>
      <c r="J200" s="44"/>
      <c r="K200" s="44"/>
    </row>
    <row r="201" spans="7:11" x14ac:dyDescent="0.2">
      <c r="G201" s="46"/>
      <c r="H201" s="44"/>
      <c r="I201" s="44"/>
      <c r="J201" s="44"/>
      <c r="K201" s="44"/>
    </row>
    <row r="202" spans="7:11" x14ac:dyDescent="0.2">
      <c r="G202" s="46"/>
      <c r="H202" s="44"/>
      <c r="I202" s="44"/>
      <c r="J202" s="44"/>
      <c r="K202" s="44"/>
    </row>
    <row r="203" spans="7:11" x14ac:dyDescent="0.2">
      <c r="G203" s="44"/>
      <c r="H203" s="44"/>
      <c r="I203" s="44"/>
      <c r="J203" s="44"/>
      <c r="K203" s="44"/>
    </row>
    <row r="204" spans="7:11" x14ac:dyDescent="0.2">
      <c r="G204" s="44"/>
      <c r="H204" s="44"/>
      <c r="I204" s="44"/>
      <c r="J204" s="44"/>
      <c r="K204" s="44"/>
    </row>
    <row r="205" spans="7:11" x14ac:dyDescent="0.2">
      <c r="G205" s="44"/>
      <c r="H205" s="44"/>
      <c r="I205" s="44"/>
      <c r="J205" s="44"/>
      <c r="K205" s="44"/>
    </row>
    <row r="206" spans="7:11" x14ac:dyDescent="0.2">
      <c r="G206" s="44"/>
      <c r="H206" s="44"/>
      <c r="I206" s="44"/>
      <c r="J206" s="44"/>
      <c r="K206" s="44"/>
    </row>
    <row r="207" spans="7:11" x14ac:dyDescent="0.2">
      <c r="G207" s="45"/>
      <c r="H207" s="45"/>
      <c r="I207" s="45"/>
      <c r="J207" s="45"/>
      <c r="K207" s="45"/>
    </row>
    <row r="208" spans="7:11" x14ac:dyDescent="0.2">
      <c r="G208" s="39"/>
      <c r="H208" s="44"/>
      <c r="I208" s="44"/>
      <c r="J208" s="44"/>
      <c r="K208" s="44"/>
    </row>
    <row r="209" spans="7:11" x14ac:dyDescent="0.2">
      <c r="G209" s="44"/>
      <c r="H209" s="44"/>
      <c r="I209" s="44"/>
      <c r="J209" s="44"/>
      <c r="K209" s="44"/>
    </row>
    <row r="210" spans="7:11" x14ac:dyDescent="0.2">
      <c r="G210" s="44"/>
      <c r="H210" s="44"/>
      <c r="I210" s="44"/>
      <c r="J210" s="44"/>
      <c r="K210" s="44"/>
    </row>
    <row r="211" spans="7:11" x14ac:dyDescent="0.2">
      <c r="G211" s="46"/>
      <c r="H211" s="46"/>
      <c r="I211" s="44"/>
      <c r="J211" s="44"/>
      <c r="K211" s="44"/>
    </row>
    <row r="212" spans="7:11" x14ac:dyDescent="0.2">
      <c r="G212" s="44"/>
      <c r="H212" s="44"/>
      <c r="I212" s="44"/>
      <c r="J212" s="44"/>
      <c r="K212" s="44"/>
    </row>
    <row r="213" spans="7:11" x14ac:dyDescent="0.2">
      <c r="G213" s="44"/>
      <c r="H213" s="44"/>
      <c r="I213" s="44"/>
      <c r="J213" s="44"/>
      <c r="K213" s="44"/>
    </row>
    <row r="214" spans="7:11" x14ac:dyDescent="0.2">
      <c r="G214" s="44"/>
      <c r="H214" s="44"/>
      <c r="I214" s="44"/>
      <c r="J214" s="44"/>
      <c r="K214" s="44"/>
    </row>
    <row r="215" spans="7:11" x14ac:dyDescent="0.2">
      <c r="G215" s="44"/>
      <c r="H215" s="44"/>
      <c r="I215" s="44"/>
      <c r="J215" s="44"/>
      <c r="K215" s="44"/>
    </row>
    <row r="216" spans="7:11" x14ac:dyDescent="0.2">
      <c r="G216" s="44"/>
      <c r="H216" s="44"/>
      <c r="I216" s="44"/>
      <c r="J216" s="44"/>
      <c r="K216" s="44"/>
    </row>
    <row r="217" spans="7:11" x14ac:dyDescent="0.2">
      <c r="G217" s="44"/>
      <c r="H217" s="44"/>
      <c r="I217" s="44"/>
      <c r="J217" s="44"/>
      <c r="K217" s="44"/>
    </row>
    <row r="218" spans="7:11" x14ac:dyDescent="0.2">
      <c r="G218" s="44"/>
      <c r="H218" s="44"/>
      <c r="I218" s="44"/>
      <c r="J218" s="44"/>
      <c r="K218" s="44"/>
    </row>
    <row r="219" spans="7:11" x14ac:dyDescent="0.2">
      <c r="G219" s="44"/>
      <c r="H219" s="44"/>
      <c r="I219" s="44"/>
      <c r="J219" s="44"/>
      <c r="K219" s="44"/>
    </row>
    <row r="220" spans="7:11" x14ac:dyDescent="0.2">
      <c r="G220" s="44"/>
      <c r="H220" s="44"/>
      <c r="I220" s="44"/>
      <c r="J220" s="44"/>
      <c r="K220" s="44"/>
    </row>
    <row r="221" spans="7:11" x14ac:dyDescent="0.2">
      <c r="G221" s="44"/>
      <c r="H221" s="44"/>
      <c r="I221" s="44"/>
      <c r="J221" s="46"/>
      <c r="K221" s="44"/>
    </row>
    <row r="222" spans="7:11" x14ac:dyDescent="0.2">
      <c r="G222" s="44"/>
      <c r="H222" s="44"/>
      <c r="I222" s="44"/>
      <c r="J222" s="44"/>
      <c r="K222" s="44"/>
    </row>
    <row r="223" spans="7:11" x14ac:dyDescent="0.2">
      <c r="G223" s="44"/>
      <c r="H223" s="44"/>
      <c r="I223" s="44"/>
      <c r="J223" s="44"/>
      <c r="K223" s="44"/>
    </row>
    <row r="224" spans="7:11" x14ac:dyDescent="0.2">
      <c r="G224" s="44"/>
      <c r="H224" s="44"/>
      <c r="I224" s="44"/>
      <c r="J224" s="44"/>
      <c r="K224" s="44"/>
    </row>
    <row r="225" spans="7:11" x14ac:dyDescent="0.2">
      <c r="G225" s="46"/>
      <c r="H225" s="44"/>
      <c r="I225" s="44"/>
      <c r="J225" s="44"/>
      <c r="K225" s="44"/>
    </row>
    <row r="226" spans="7:11" x14ac:dyDescent="0.2">
      <c r="G226" s="44"/>
      <c r="H226" s="44"/>
      <c r="I226" s="44"/>
      <c r="J226" s="44"/>
      <c r="K226" s="44"/>
    </row>
    <row r="227" spans="7:11" x14ac:dyDescent="0.2">
      <c r="G227" s="44"/>
      <c r="H227" s="44"/>
      <c r="I227" s="44"/>
      <c r="J227" s="44"/>
      <c r="K227" s="44"/>
    </row>
    <row r="228" spans="7:11" x14ac:dyDescent="0.2">
      <c r="G228" s="44"/>
      <c r="H228" s="44"/>
      <c r="I228" s="44"/>
      <c r="J228" s="44"/>
      <c r="K228" s="44"/>
    </row>
    <row r="229" spans="7:11" x14ac:dyDescent="0.2">
      <c r="G229" s="44"/>
      <c r="H229" s="44"/>
      <c r="I229" s="44"/>
      <c r="J229" s="44"/>
      <c r="K229" s="44"/>
    </row>
    <row r="230" spans="7:11" x14ac:dyDescent="0.2">
      <c r="G230" s="44"/>
      <c r="H230" s="44"/>
      <c r="I230" s="44"/>
      <c r="J230" s="44"/>
      <c r="K230" s="44"/>
    </row>
    <row r="231" spans="7:11" x14ac:dyDescent="0.2">
      <c r="G231" s="44"/>
      <c r="H231" s="44"/>
      <c r="I231" s="44"/>
      <c r="J231" s="44"/>
      <c r="K231" s="44"/>
    </row>
    <row r="232" spans="7:11" x14ac:dyDescent="0.2">
      <c r="G232" s="44"/>
      <c r="H232" s="44"/>
      <c r="I232" s="44"/>
      <c r="J232" s="44"/>
      <c r="K232" s="44"/>
    </row>
    <row r="233" spans="7:11" x14ac:dyDescent="0.2">
      <c r="G233" s="44"/>
      <c r="H233" s="44"/>
      <c r="I233" s="44"/>
      <c r="J233" s="44"/>
      <c r="K233" s="44"/>
    </row>
    <row r="234" spans="7:11" x14ac:dyDescent="0.2">
      <c r="G234" s="44"/>
      <c r="H234" s="44"/>
      <c r="I234" s="44"/>
      <c r="J234" s="44"/>
      <c r="K234" s="44"/>
    </row>
    <row r="235" spans="7:11" x14ac:dyDescent="0.2">
      <c r="G235" s="44"/>
      <c r="H235" s="44"/>
      <c r="I235" s="44"/>
      <c r="J235" s="44"/>
      <c r="K235" s="44"/>
    </row>
    <row r="236" spans="7:11" x14ac:dyDescent="0.2">
      <c r="G236" s="44"/>
      <c r="H236" s="44"/>
      <c r="I236" s="44"/>
      <c r="J236" s="44"/>
      <c r="K236" s="44"/>
    </row>
    <row r="237" spans="7:11" x14ac:dyDescent="0.2">
      <c r="G237" s="47"/>
      <c r="H237" s="44"/>
      <c r="I237" s="44"/>
      <c r="J237" s="44"/>
      <c r="K237" s="44"/>
    </row>
    <row r="238" spans="7:11" x14ac:dyDescent="0.2">
      <c r="G238" s="44"/>
      <c r="H238" s="44"/>
      <c r="I238" s="44"/>
      <c r="J238" s="44"/>
      <c r="K238" s="44"/>
    </row>
    <row r="239" spans="7:11" x14ac:dyDescent="0.2">
      <c r="G239" s="44"/>
      <c r="H239" s="44"/>
      <c r="I239" s="44"/>
      <c r="J239" s="44"/>
      <c r="K239" s="44"/>
    </row>
    <row r="240" spans="7:11" x14ac:dyDescent="0.2">
      <c r="G240" s="44"/>
      <c r="H240" s="44"/>
      <c r="I240" s="44"/>
      <c r="J240" s="44"/>
      <c r="K240" s="44"/>
    </row>
    <row r="241" spans="7:11" x14ac:dyDescent="0.2">
      <c r="G241" s="44"/>
      <c r="H241" s="44"/>
      <c r="I241" s="44"/>
      <c r="J241" s="44"/>
      <c r="K241" s="44"/>
    </row>
    <row r="242" spans="7:11" x14ac:dyDescent="0.2">
      <c r="G242" s="44"/>
      <c r="H242" s="44"/>
      <c r="I242" s="44"/>
      <c r="J242" s="44"/>
      <c r="K242" s="44"/>
    </row>
    <row r="243" spans="7:11" x14ac:dyDescent="0.2">
      <c r="G243" s="44"/>
      <c r="H243" s="44"/>
      <c r="I243" s="44"/>
      <c r="J243" s="44"/>
      <c r="K243" s="44"/>
    </row>
    <row r="244" spans="7:11" x14ac:dyDescent="0.2">
      <c r="G244" s="44"/>
      <c r="H244" s="44"/>
      <c r="I244" s="44"/>
      <c r="J244" s="44"/>
      <c r="K244" s="44"/>
    </row>
    <row r="245" spans="7:11" x14ac:dyDescent="0.2">
      <c r="G245" s="44"/>
      <c r="H245" s="44"/>
      <c r="I245" s="44"/>
      <c r="J245" s="44"/>
      <c r="K245" s="44"/>
    </row>
    <row r="246" spans="7:11" x14ac:dyDescent="0.2">
      <c r="G246" s="44"/>
      <c r="H246" s="44"/>
      <c r="I246" s="44"/>
      <c r="J246" s="44"/>
      <c r="K246" s="44"/>
    </row>
    <row r="247" spans="7:11" x14ac:dyDescent="0.2">
      <c r="G247" s="44"/>
      <c r="H247" s="44"/>
      <c r="I247" s="44"/>
      <c r="J247" s="44"/>
      <c r="K247" s="44"/>
    </row>
    <row r="248" spans="7:11" x14ac:dyDescent="0.2">
      <c r="G248" s="44"/>
      <c r="H248" s="44"/>
      <c r="I248" s="44"/>
      <c r="J248" s="44"/>
      <c r="K248" s="44"/>
    </row>
    <row r="249" spans="7:11" x14ac:dyDescent="0.2">
      <c r="G249" s="44"/>
      <c r="H249" s="44"/>
      <c r="I249" s="44"/>
      <c r="J249" s="44"/>
      <c r="K249" s="44"/>
    </row>
    <row r="250" spans="7:11" x14ac:dyDescent="0.2">
      <c r="G250" s="44"/>
      <c r="H250" s="44"/>
      <c r="I250" s="44"/>
      <c r="J250" s="44"/>
      <c r="K250" s="44"/>
    </row>
    <row r="251" spans="7:11" x14ac:dyDescent="0.2">
      <c r="G251" s="44"/>
      <c r="H251" s="44"/>
      <c r="I251" s="44"/>
      <c r="J251" s="44"/>
      <c r="K251" s="44"/>
    </row>
    <row r="252" spans="7:11" x14ac:dyDescent="0.2">
      <c r="G252" s="44"/>
      <c r="H252" s="44"/>
      <c r="I252" s="44"/>
      <c r="J252" s="44"/>
      <c r="K252" s="44"/>
    </row>
    <row r="253" spans="7:11" x14ac:dyDescent="0.2">
      <c r="G253" s="44"/>
      <c r="H253" s="44"/>
      <c r="I253" s="44"/>
      <c r="J253" s="44"/>
      <c r="K253" s="44"/>
    </row>
    <row r="254" spans="7:11" x14ac:dyDescent="0.2">
      <c r="G254" s="44"/>
      <c r="H254" s="44"/>
      <c r="I254" s="44"/>
      <c r="J254" s="44"/>
      <c r="K254" s="44"/>
    </row>
    <row r="255" spans="7:11" x14ac:dyDescent="0.2">
      <c r="G255" s="44"/>
      <c r="H255" s="44"/>
      <c r="I255" s="44"/>
      <c r="J255" s="44"/>
      <c r="K255" s="44"/>
    </row>
    <row r="256" spans="7:11" x14ac:dyDescent="0.2">
      <c r="G256" s="44"/>
      <c r="H256" s="44"/>
      <c r="I256" s="44"/>
      <c r="J256" s="44"/>
      <c r="K256" s="44"/>
    </row>
    <row r="257" spans="7:11" x14ac:dyDescent="0.2">
      <c r="G257" s="44"/>
      <c r="H257" s="44"/>
      <c r="I257" s="44"/>
      <c r="J257" s="44"/>
      <c r="K257" s="44"/>
    </row>
    <row r="258" spans="7:11" x14ac:dyDescent="0.2">
      <c r="G258" s="44"/>
      <c r="H258" s="44"/>
      <c r="I258" s="44"/>
      <c r="J258" s="44"/>
      <c r="K258" s="44"/>
    </row>
    <row r="259" spans="7:11" x14ac:dyDescent="0.2">
      <c r="G259" s="44"/>
      <c r="H259" s="44"/>
      <c r="I259" s="44"/>
      <c r="J259" s="44"/>
      <c r="K259" s="44"/>
    </row>
    <row r="260" spans="7:11" x14ac:dyDescent="0.2">
      <c r="G260" s="44"/>
      <c r="H260" s="44"/>
      <c r="I260" s="44"/>
      <c r="J260" s="44"/>
      <c r="K260" s="44"/>
    </row>
    <row r="261" spans="7:11" x14ac:dyDescent="0.2">
      <c r="G261" s="44"/>
      <c r="H261" s="44"/>
      <c r="I261" s="44"/>
      <c r="J261" s="44"/>
      <c r="K261" s="44"/>
    </row>
    <row r="262" spans="7:11" x14ac:dyDescent="0.2">
      <c r="G262" s="44"/>
      <c r="H262" s="44"/>
      <c r="I262" s="44"/>
      <c r="J262" s="44"/>
      <c r="K262" s="44"/>
    </row>
    <row r="263" spans="7:11" x14ac:dyDescent="0.2">
      <c r="G263" s="44"/>
      <c r="H263" s="44"/>
      <c r="I263" s="44"/>
      <c r="J263" s="44"/>
      <c r="K263" s="44"/>
    </row>
    <row r="264" spans="7:11" x14ac:dyDescent="0.2">
      <c r="G264" s="44"/>
      <c r="H264" s="44"/>
      <c r="I264" s="44"/>
      <c r="J264" s="44"/>
      <c r="K264" s="44"/>
    </row>
    <row r="265" spans="7:11" x14ac:dyDescent="0.2">
      <c r="G265" s="44"/>
      <c r="H265" s="44"/>
      <c r="I265" s="44"/>
      <c r="J265" s="44"/>
      <c r="K265" s="44"/>
    </row>
    <row r="266" spans="7:11" x14ac:dyDescent="0.2">
      <c r="G266" s="44"/>
      <c r="H266" s="44"/>
      <c r="I266" s="44"/>
      <c r="J266" s="44"/>
      <c r="K266" s="44"/>
    </row>
    <row r="267" spans="7:11" x14ac:dyDescent="0.2">
      <c r="G267" s="44"/>
      <c r="H267" s="44"/>
      <c r="I267" s="44"/>
      <c r="J267" s="44"/>
      <c r="K267" s="44"/>
    </row>
    <row r="268" spans="7:11" x14ac:dyDescent="0.2">
      <c r="G268" s="44"/>
      <c r="H268" s="44"/>
      <c r="I268" s="44"/>
      <c r="J268" s="44"/>
      <c r="K268" s="44"/>
    </row>
    <row r="269" spans="7:11" x14ac:dyDescent="0.2">
      <c r="G269" s="44"/>
      <c r="H269" s="44"/>
      <c r="I269" s="44"/>
      <c r="J269" s="44"/>
      <c r="K269" s="44"/>
    </row>
    <row r="270" spans="7:11" x14ac:dyDescent="0.2">
      <c r="G270" s="46"/>
      <c r="H270" s="46"/>
      <c r="I270" s="44"/>
      <c r="J270" s="44"/>
      <c r="K270" s="44"/>
    </row>
    <row r="271" spans="7:11" x14ac:dyDescent="0.2">
      <c r="G271" s="44"/>
      <c r="H271" s="44"/>
      <c r="I271" s="44"/>
      <c r="J271" s="44"/>
      <c r="K271" s="44"/>
    </row>
    <row r="272" spans="7:11" x14ac:dyDescent="0.2">
      <c r="G272" s="44"/>
      <c r="H272" s="44"/>
      <c r="I272" s="44"/>
      <c r="J272" s="44"/>
      <c r="K272" s="44"/>
    </row>
    <row r="273" spans="7:11" x14ac:dyDescent="0.2">
      <c r="G273" s="44"/>
      <c r="H273" s="44"/>
      <c r="I273" s="44"/>
      <c r="J273" s="44"/>
      <c r="K273" s="46"/>
    </row>
    <row r="274" spans="7:11" x14ac:dyDescent="0.2">
      <c r="G274" s="44"/>
      <c r="H274" s="44"/>
      <c r="I274" s="44"/>
      <c r="J274" s="44"/>
      <c r="K274" s="44"/>
    </row>
    <row r="275" spans="7:11" x14ac:dyDescent="0.2">
      <c r="G275" s="44"/>
      <c r="H275" s="44"/>
      <c r="I275" s="44"/>
      <c r="J275" s="44"/>
      <c r="K275" s="44"/>
    </row>
    <row r="276" spans="7:11" x14ac:dyDescent="0.2">
      <c r="G276" s="44"/>
      <c r="H276" s="44"/>
      <c r="I276" s="44"/>
      <c r="J276" s="44"/>
      <c r="K276" s="44"/>
    </row>
    <row r="277" spans="7:11" x14ac:dyDescent="0.2">
      <c r="G277" s="44"/>
      <c r="H277" s="44"/>
      <c r="I277" s="44"/>
      <c r="J277" s="44"/>
      <c r="K277" s="44"/>
    </row>
    <row r="278" spans="7:11" x14ac:dyDescent="0.2">
      <c r="G278" s="46"/>
      <c r="H278" s="44"/>
      <c r="I278" s="44"/>
      <c r="J278" s="44"/>
      <c r="K278" s="44"/>
    </row>
    <row r="279" spans="7:11" x14ac:dyDescent="0.2">
      <c r="G279" s="44"/>
      <c r="H279" s="44"/>
      <c r="I279" s="44"/>
      <c r="J279" s="44"/>
      <c r="K279" s="44"/>
    </row>
    <row r="280" spans="7:11" x14ac:dyDescent="0.2">
      <c r="G280" s="44"/>
      <c r="H280" s="44"/>
      <c r="I280" s="44"/>
      <c r="J280" s="44"/>
      <c r="K280" s="44"/>
    </row>
    <row r="281" spans="7:11" x14ac:dyDescent="0.2">
      <c r="G281" s="44"/>
      <c r="H281" s="44"/>
      <c r="I281" s="44"/>
      <c r="J281" s="44"/>
      <c r="K281" s="44"/>
    </row>
    <row r="282" spans="7:11" x14ac:dyDescent="0.2">
      <c r="G282" s="44"/>
      <c r="H282" s="44"/>
      <c r="I282" s="44"/>
      <c r="J282" s="44"/>
      <c r="K282" s="44"/>
    </row>
    <row r="283" spans="7:11" x14ac:dyDescent="0.2">
      <c r="G283" s="44"/>
      <c r="H283" s="44"/>
      <c r="I283" s="44"/>
      <c r="J283" s="44"/>
      <c r="K283" s="44"/>
    </row>
    <row r="284" spans="7:11" x14ac:dyDescent="0.2">
      <c r="G284" s="44"/>
      <c r="H284" s="44"/>
      <c r="I284" s="44"/>
      <c r="J284" s="44"/>
      <c r="K284" s="44"/>
    </row>
    <row r="285" spans="7:11" x14ac:dyDescent="0.2">
      <c r="G285" s="44"/>
      <c r="H285" s="44"/>
      <c r="I285" s="44"/>
      <c r="J285" s="44"/>
      <c r="K285" s="44"/>
    </row>
    <row r="286" spans="7:11" x14ac:dyDescent="0.2">
      <c r="G286" s="44"/>
      <c r="H286" s="44"/>
      <c r="I286" s="44"/>
      <c r="J286" s="44"/>
      <c r="K286" s="44"/>
    </row>
    <row r="287" spans="7:11" x14ac:dyDescent="0.2">
      <c r="G287" s="44"/>
      <c r="H287" s="44"/>
      <c r="I287" s="44"/>
      <c r="J287" s="44"/>
      <c r="K287" s="44"/>
    </row>
    <row r="288" spans="7:11" x14ac:dyDescent="0.2">
      <c r="G288" s="44"/>
      <c r="H288" s="44"/>
      <c r="I288" s="44"/>
      <c r="J288" s="44"/>
      <c r="K288" s="44"/>
    </row>
    <row r="289" spans="7:11" x14ac:dyDescent="0.2">
      <c r="G289" s="44"/>
      <c r="H289" s="46"/>
      <c r="I289" s="44"/>
      <c r="J289" s="44"/>
      <c r="K289" s="44"/>
    </row>
    <row r="290" spans="7:11" x14ac:dyDescent="0.2">
      <c r="G290" s="44"/>
      <c r="H290" s="44"/>
      <c r="I290" s="44"/>
      <c r="J290" s="44"/>
      <c r="K290" s="44"/>
    </row>
    <row r="291" spans="7:11" x14ac:dyDescent="0.2">
      <c r="G291" s="44"/>
      <c r="H291" s="44"/>
      <c r="I291" s="44"/>
      <c r="J291" s="44"/>
      <c r="K291" s="44"/>
    </row>
    <row r="292" spans="7:11" x14ac:dyDescent="0.2">
      <c r="G292" s="44"/>
      <c r="H292" s="46"/>
      <c r="I292" s="44"/>
      <c r="J292" s="44"/>
      <c r="K292" s="44"/>
    </row>
    <row r="293" spans="7:11" x14ac:dyDescent="0.2">
      <c r="G293" s="44"/>
      <c r="H293" s="44"/>
      <c r="I293" s="44"/>
      <c r="J293" s="44"/>
      <c r="K293" s="44"/>
    </row>
    <row r="294" spans="7:11" x14ac:dyDescent="0.2">
      <c r="G294" s="44"/>
      <c r="H294" s="44"/>
      <c r="I294" s="44"/>
      <c r="J294" s="44"/>
      <c r="K294" s="44"/>
    </row>
    <row r="295" spans="7:11" x14ac:dyDescent="0.2">
      <c r="G295" s="44"/>
      <c r="H295" s="44"/>
      <c r="I295" s="44"/>
      <c r="J295" s="44"/>
      <c r="K295" s="44"/>
    </row>
    <row r="296" spans="7:11" x14ac:dyDescent="0.2">
      <c r="G296" s="44"/>
      <c r="H296" s="44"/>
      <c r="I296" s="44"/>
      <c r="J296" s="44"/>
      <c r="K296" s="44"/>
    </row>
    <row r="297" spans="7:11" x14ac:dyDescent="0.2">
      <c r="G297" s="44"/>
      <c r="H297" s="44"/>
      <c r="I297" s="44"/>
      <c r="J297" s="44"/>
      <c r="K297" s="44"/>
    </row>
    <row r="298" spans="7:11" x14ac:dyDescent="0.2">
      <c r="G298" s="46"/>
      <c r="H298" s="44"/>
      <c r="I298" s="44"/>
      <c r="J298" s="44"/>
      <c r="K298" s="44"/>
    </row>
    <row r="299" spans="7:11" x14ac:dyDescent="0.2">
      <c r="G299" s="44"/>
      <c r="H299" s="46"/>
      <c r="I299" s="44"/>
      <c r="J299" s="46"/>
      <c r="K299" s="44"/>
    </row>
    <row r="300" spans="7:11" x14ac:dyDescent="0.2">
      <c r="G300" s="44"/>
      <c r="H300" s="44"/>
      <c r="I300" s="44"/>
      <c r="J300" s="44"/>
      <c r="K300" s="44"/>
    </row>
    <row r="301" spans="7:11" x14ac:dyDescent="0.2">
      <c r="G301" s="44"/>
      <c r="H301" s="44"/>
      <c r="I301" s="44"/>
      <c r="J301" s="44"/>
      <c r="K301" s="44"/>
    </row>
    <row r="302" spans="7:11" x14ac:dyDescent="0.2">
      <c r="G302" s="44"/>
      <c r="H302" s="44"/>
      <c r="I302" s="44"/>
      <c r="J302" s="44"/>
      <c r="K302" s="44"/>
    </row>
    <row r="303" spans="7:11" x14ac:dyDescent="0.2">
      <c r="G303" s="44"/>
      <c r="H303" s="44"/>
      <c r="I303" s="44"/>
      <c r="J303" s="44"/>
      <c r="K303" s="44"/>
    </row>
    <row r="304" spans="7:11" x14ac:dyDescent="0.2">
      <c r="G304" s="46"/>
      <c r="H304" s="44"/>
      <c r="I304" s="44"/>
      <c r="J304" s="44"/>
      <c r="K304" s="44"/>
    </row>
    <row r="305" spans="7:11" x14ac:dyDescent="0.2">
      <c r="G305" s="46"/>
      <c r="H305" s="44"/>
      <c r="I305" s="44"/>
      <c r="J305" s="44"/>
      <c r="K305" s="44"/>
    </row>
    <row r="306" spans="7:11" x14ac:dyDescent="0.2">
      <c r="G306" s="44"/>
      <c r="H306" s="44"/>
      <c r="I306" s="44"/>
      <c r="J306" s="44"/>
      <c r="K306" s="44"/>
    </row>
    <row r="307" spans="7:11" x14ac:dyDescent="0.2">
      <c r="G307" s="44"/>
      <c r="H307" s="44"/>
      <c r="I307" s="44"/>
      <c r="J307" s="44"/>
      <c r="K307" s="44"/>
    </row>
    <row r="308" spans="7:11" x14ac:dyDescent="0.2">
      <c r="G308" s="44"/>
      <c r="H308" s="44"/>
      <c r="I308" s="44"/>
      <c r="J308" s="44"/>
      <c r="K308" s="44"/>
    </row>
    <row r="309" spans="7:11" x14ac:dyDescent="0.2">
      <c r="G309" s="44"/>
      <c r="H309" s="44"/>
      <c r="I309" s="44"/>
      <c r="J309" s="44"/>
      <c r="K309" s="44"/>
    </row>
    <row r="310" spans="7:11" x14ac:dyDescent="0.2">
      <c r="G310" s="45"/>
      <c r="H310" s="45"/>
      <c r="I310" s="45"/>
      <c r="J310" s="45"/>
      <c r="K310" s="45"/>
    </row>
    <row r="311" spans="7:11" x14ac:dyDescent="0.2">
      <c r="G311" s="39"/>
      <c r="H311" s="44"/>
      <c r="I311" s="44"/>
      <c r="J311" s="44"/>
      <c r="K311" s="44"/>
    </row>
    <row r="312" spans="7:11" x14ac:dyDescent="0.2">
      <c r="G312" s="44"/>
      <c r="H312" s="44"/>
      <c r="I312" s="44"/>
      <c r="J312" s="44"/>
      <c r="K312" s="44"/>
    </row>
    <row r="313" spans="7:11" x14ac:dyDescent="0.2">
      <c r="G313" s="44"/>
      <c r="H313" s="44"/>
      <c r="I313" s="44"/>
      <c r="J313" s="44"/>
      <c r="K313" s="44"/>
    </row>
    <row r="314" spans="7:11" x14ac:dyDescent="0.2">
      <c r="G314" s="46"/>
      <c r="H314" s="46"/>
      <c r="I314" s="44"/>
      <c r="J314" s="44"/>
      <c r="K314" s="44"/>
    </row>
    <row r="315" spans="7:11" x14ac:dyDescent="0.2">
      <c r="G315" s="44"/>
      <c r="H315" s="44"/>
      <c r="I315" s="44"/>
      <c r="J315" s="44"/>
      <c r="K315" s="44"/>
    </row>
    <row r="316" spans="7:11" x14ac:dyDescent="0.2">
      <c r="G316" s="44"/>
      <c r="H316" s="44"/>
      <c r="I316" s="44"/>
      <c r="J316" s="44"/>
      <c r="K316" s="44"/>
    </row>
    <row r="317" spans="7:11" x14ac:dyDescent="0.2">
      <c r="G317" s="44"/>
      <c r="H317" s="44"/>
      <c r="I317" s="44"/>
      <c r="J317" s="44"/>
      <c r="K317" s="44"/>
    </row>
    <row r="318" spans="7:11" x14ac:dyDescent="0.2">
      <c r="G318" s="44"/>
      <c r="H318" s="44"/>
      <c r="I318" s="44"/>
      <c r="J318" s="44"/>
      <c r="K318" s="44"/>
    </row>
    <row r="319" spans="7:11" x14ac:dyDescent="0.2">
      <c r="G319" s="44"/>
      <c r="H319" s="44"/>
      <c r="I319" s="44"/>
      <c r="J319" s="44"/>
      <c r="K319" s="44"/>
    </row>
    <row r="320" spans="7:11" x14ac:dyDescent="0.2">
      <c r="G320" s="44"/>
      <c r="H320" s="44"/>
      <c r="I320" s="44"/>
      <c r="J320" s="44"/>
      <c r="K320" s="44"/>
    </row>
    <row r="321" spans="7:11" x14ac:dyDescent="0.2">
      <c r="G321" s="44"/>
      <c r="H321" s="44"/>
      <c r="I321" s="44"/>
      <c r="J321" s="44"/>
      <c r="K321" s="44"/>
    </row>
    <row r="322" spans="7:11" x14ac:dyDescent="0.2">
      <c r="G322" s="44"/>
      <c r="H322" s="44"/>
      <c r="I322" s="44"/>
      <c r="J322" s="44"/>
      <c r="K322" s="44"/>
    </row>
    <row r="323" spans="7:11" x14ac:dyDescent="0.2">
      <c r="G323" s="44"/>
      <c r="H323" s="44"/>
      <c r="I323" s="44"/>
      <c r="J323" s="44"/>
      <c r="K323" s="44"/>
    </row>
    <row r="324" spans="7:11" x14ac:dyDescent="0.2">
      <c r="G324" s="44"/>
      <c r="H324" s="44"/>
      <c r="I324" s="44"/>
      <c r="J324" s="46"/>
      <c r="K324" s="44"/>
    </row>
    <row r="325" spans="7:11" x14ac:dyDescent="0.2">
      <c r="G325" s="44"/>
      <c r="H325" s="44"/>
      <c r="I325" s="44"/>
      <c r="J325" s="44"/>
      <c r="K325" s="44"/>
    </row>
    <row r="326" spans="7:11" x14ac:dyDescent="0.2">
      <c r="G326" s="44"/>
      <c r="H326" s="44"/>
      <c r="I326" s="44"/>
      <c r="J326" s="44"/>
      <c r="K326" s="44"/>
    </row>
    <row r="327" spans="7:11" x14ac:dyDescent="0.2">
      <c r="G327" s="44"/>
      <c r="H327" s="44"/>
      <c r="I327" s="44"/>
      <c r="J327" s="44"/>
      <c r="K327" s="44"/>
    </row>
    <row r="328" spans="7:11" x14ac:dyDescent="0.2">
      <c r="G328" s="46"/>
      <c r="H328" s="44"/>
      <c r="I328" s="44"/>
      <c r="J328" s="44"/>
      <c r="K328" s="44"/>
    </row>
    <row r="329" spans="7:11" x14ac:dyDescent="0.2">
      <c r="G329" s="44"/>
      <c r="H329" s="44"/>
      <c r="I329" s="44"/>
      <c r="J329" s="44"/>
      <c r="K329" s="44"/>
    </row>
    <row r="330" spans="7:11" x14ac:dyDescent="0.2">
      <c r="G330" s="44"/>
      <c r="H330" s="44"/>
      <c r="I330" s="44"/>
      <c r="J330" s="44"/>
      <c r="K330" s="44"/>
    </row>
    <row r="331" spans="7:11" x14ac:dyDescent="0.2">
      <c r="G331" s="44"/>
      <c r="H331" s="44"/>
      <c r="I331" s="44"/>
      <c r="J331" s="44"/>
      <c r="K331" s="44"/>
    </row>
    <row r="332" spans="7:11" x14ac:dyDescent="0.2">
      <c r="G332" s="44"/>
      <c r="H332" s="44"/>
      <c r="I332" s="44"/>
      <c r="J332" s="44"/>
      <c r="K332" s="44"/>
    </row>
    <row r="333" spans="7:11" x14ac:dyDescent="0.2">
      <c r="G333" s="44"/>
      <c r="H333" s="44"/>
      <c r="I333" s="44"/>
      <c r="J333" s="44"/>
      <c r="K333" s="44"/>
    </row>
    <row r="334" spans="7:11" x14ac:dyDescent="0.2">
      <c r="G334" s="44"/>
      <c r="H334" s="44"/>
      <c r="I334" s="44"/>
      <c r="J334" s="44"/>
      <c r="K334" s="44"/>
    </row>
    <row r="335" spans="7:11" x14ac:dyDescent="0.2">
      <c r="G335" s="44"/>
      <c r="H335" s="44"/>
      <c r="I335" s="44"/>
      <c r="J335" s="44"/>
      <c r="K335" s="44"/>
    </row>
    <row r="336" spans="7:11" x14ac:dyDescent="0.2">
      <c r="G336" s="44"/>
      <c r="H336" s="44"/>
      <c r="I336" s="44"/>
      <c r="J336" s="44"/>
      <c r="K336" s="44"/>
    </row>
    <row r="337" spans="7:11" x14ac:dyDescent="0.2">
      <c r="G337" s="44"/>
      <c r="H337" s="44"/>
      <c r="I337" s="44"/>
      <c r="J337" s="44"/>
      <c r="K337" s="44"/>
    </row>
    <row r="338" spans="7:11" x14ac:dyDescent="0.2">
      <c r="G338" s="44"/>
      <c r="H338" s="44"/>
      <c r="I338" s="44"/>
      <c r="J338" s="44"/>
      <c r="K338" s="44"/>
    </row>
    <row r="339" spans="7:11" x14ac:dyDescent="0.2">
      <c r="G339" s="44"/>
      <c r="H339" s="44"/>
      <c r="I339" s="44"/>
      <c r="J339" s="44"/>
      <c r="K339" s="44"/>
    </row>
    <row r="340" spans="7:11" x14ac:dyDescent="0.2">
      <c r="G340" s="47"/>
      <c r="H340" s="44"/>
      <c r="I340" s="44"/>
      <c r="J340" s="44"/>
      <c r="K340" s="44"/>
    </row>
    <row r="341" spans="7:11" x14ac:dyDescent="0.2">
      <c r="G341" s="44"/>
      <c r="H341" s="44"/>
      <c r="I341" s="44"/>
      <c r="J341" s="44"/>
      <c r="K341" s="44"/>
    </row>
    <row r="342" spans="7:11" x14ac:dyDescent="0.2">
      <c r="G342" s="44"/>
      <c r="H342" s="44"/>
      <c r="I342" s="44"/>
      <c r="J342" s="44"/>
      <c r="K342" s="44"/>
    </row>
    <row r="343" spans="7:11" x14ac:dyDescent="0.2">
      <c r="G343" s="44"/>
      <c r="H343" s="44"/>
      <c r="I343" s="44"/>
      <c r="J343" s="44"/>
      <c r="K343" s="44"/>
    </row>
    <row r="344" spans="7:11" x14ac:dyDescent="0.2">
      <c r="G344" s="44"/>
      <c r="H344" s="44"/>
      <c r="I344" s="44"/>
      <c r="J344" s="44"/>
      <c r="K344" s="44"/>
    </row>
    <row r="345" spans="7:11" x14ac:dyDescent="0.2">
      <c r="G345" s="44"/>
      <c r="H345" s="44"/>
      <c r="I345" s="44"/>
      <c r="J345" s="44"/>
      <c r="K345" s="44"/>
    </row>
    <row r="346" spans="7:11" x14ac:dyDescent="0.2">
      <c r="G346" s="44"/>
      <c r="H346" s="44"/>
      <c r="I346" s="44"/>
      <c r="J346" s="44"/>
      <c r="K346" s="44"/>
    </row>
    <row r="347" spans="7:11" x14ac:dyDescent="0.2">
      <c r="G347" s="44"/>
      <c r="H347" s="44"/>
      <c r="I347" s="44"/>
      <c r="J347" s="44"/>
      <c r="K347" s="44"/>
    </row>
    <row r="348" spans="7:11" x14ac:dyDescent="0.2">
      <c r="G348" s="44"/>
      <c r="H348" s="44"/>
      <c r="I348" s="44"/>
      <c r="J348" s="44"/>
      <c r="K348" s="44"/>
    </row>
    <row r="349" spans="7:11" x14ac:dyDescent="0.2">
      <c r="G349" s="44"/>
      <c r="H349" s="44"/>
      <c r="I349" s="44"/>
      <c r="J349" s="44"/>
      <c r="K349" s="44"/>
    </row>
    <row r="350" spans="7:11" x14ac:dyDescent="0.2">
      <c r="G350" s="44"/>
      <c r="H350" s="44"/>
      <c r="I350" s="44"/>
      <c r="J350" s="44"/>
      <c r="K350" s="44"/>
    </row>
    <row r="351" spans="7:11" x14ac:dyDescent="0.2">
      <c r="G351" s="44"/>
      <c r="H351" s="44"/>
      <c r="I351" s="44"/>
      <c r="J351" s="44"/>
      <c r="K351" s="44"/>
    </row>
    <row r="352" spans="7:11" x14ac:dyDescent="0.2">
      <c r="G352" s="44"/>
      <c r="H352" s="44"/>
      <c r="I352" s="44"/>
      <c r="J352" s="44"/>
      <c r="K352" s="44"/>
    </row>
    <row r="353" spans="7:11" x14ac:dyDescent="0.2">
      <c r="G353" s="44"/>
      <c r="H353" s="44"/>
      <c r="I353" s="44"/>
      <c r="J353" s="44"/>
      <c r="K353" s="44"/>
    </row>
    <row r="354" spans="7:11" x14ac:dyDescent="0.2">
      <c r="G354" s="44"/>
      <c r="H354" s="44"/>
      <c r="I354" s="44"/>
      <c r="J354" s="44"/>
      <c r="K354" s="44"/>
    </row>
    <row r="355" spans="7:11" x14ac:dyDescent="0.2">
      <c r="G355" s="44"/>
      <c r="H355" s="44"/>
      <c r="I355" s="44"/>
      <c r="J355" s="44"/>
      <c r="K355" s="44"/>
    </row>
    <row r="356" spans="7:11" x14ac:dyDescent="0.2">
      <c r="G356" s="44"/>
      <c r="H356" s="44"/>
      <c r="I356" s="44"/>
      <c r="J356" s="44"/>
      <c r="K356" s="44"/>
    </row>
    <row r="357" spans="7:11" x14ac:dyDescent="0.2">
      <c r="G357" s="44"/>
      <c r="H357" s="44"/>
      <c r="I357" s="44"/>
      <c r="J357" s="44"/>
      <c r="K357" s="44"/>
    </row>
    <row r="358" spans="7:11" x14ac:dyDescent="0.2">
      <c r="G358" s="44"/>
      <c r="H358" s="44"/>
      <c r="I358" s="44"/>
      <c r="J358" s="44"/>
      <c r="K358" s="44"/>
    </row>
    <row r="359" spans="7:11" x14ac:dyDescent="0.2">
      <c r="G359" s="44"/>
      <c r="H359" s="44"/>
      <c r="I359" s="44"/>
      <c r="J359" s="44"/>
      <c r="K359" s="44"/>
    </row>
    <row r="360" spans="7:11" x14ac:dyDescent="0.2">
      <c r="G360" s="44"/>
      <c r="H360" s="44"/>
      <c r="I360" s="44"/>
      <c r="J360" s="44"/>
      <c r="K360" s="44"/>
    </row>
    <row r="361" spans="7:11" x14ac:dyDescent="0.2">
      <c r="G361" s="44"/>
      <c r="H361" s="44"/>
      <c r="I361" s="44"/>
      <c r="J361" s="44"/>
      <c r="K361" s="44"/>
    </row>
    <row r="362" spans="7:11" x14ac:dyDescent="0.2">
      <c r="G362" s="44"/>
      <c r="H362" s="44"/>
      <c r="I362" s="44"/>
      <c r="J362" s="44"/>
      <c r="K362" s="44"/>
    </row>
    <row r="363" spans="7:11" x14ac:dyDescent="0.2">
      <c r="G363" s="44"/>
      <c r="H363" s="44"/>
      <c r="I363" s="44"/>
      <c r="J363" s="44"/>
      <c r="K363" s="44"/>
    </row>
    <row r="364" spans="7:11" x14ac:dyDescent="0.2">
      <c r="G364" s="44"/>
      <c r="H364" s="44"/>
      <c r="I364" s="44"/>
      <c r="J364" s="44"/>
      <c r="K364" s="44"/>
    </row>
    <row r="365" spans="7:11" x14ac:dyDescent="0.2">
      <c r="G365" s="44"/>
      <c r="H365" s="44"/>
      <c r="I365" s="44"/>
      <c r="J365" s="44"/>
      <c r="K365" s="44"/>
    </row>
    <row r="366" spans="7:11" x14ac:dyDescent="0.2">
      <c r="G366" s="44"/>
      <c r="H366" s="44"/>
      <c r="I366" s="44"/>
      <c r="J366" s="44"/>
      <c r="K366" s="44"/>
    </row>
    <row r="367" spans="7:11" x14ac:dyDescent="0.2">
      <c r="G367" s="44"/>
      <c r="H367" s="44"/>
      <c r="I367" s="44"/>
      <c r="J367" s="44"/>
      <c r="K367" s="44"/>
    </row>
    <row r="368" spans="7:11" x14ac:dyDescent="0.2">
      <c r="G368" s="44"/>
      <c r="H368" s="44"/>
      <c r="I368" s="44"/>
      <c r="J368" s="44"/>
      <c r="K368" s="44"/>
    </row>
    <row r="369" spans="7:11" x14ac:dyDescent="0.2">
      <c r="G369" s="44"/>
      <c r="H369" s="44"/>
      <c r="I369" s="44"/>
      <c r="J369" s="44"/>
      <c r="K369" s="44"/>
    </row>
    <row r="370" spans="7:11" x14ac:dyDescent="0.2">
      <c r="G370" s="44"/>
      <c r="H370" s="44"/>
      <c r="I370" s="44"/>
      <c r="J370" s="44"/>
      <c r="K370" s="44"/>
    </row>
    <row r="371" spans="7:11" x14ac:dyDescent="0.2">
      <c r="G371" s="44"/>
      <c r="H371" s="44"/>
      <c r="I371" s="44"/>
      <c r="J371" s="44"/>
      <c r="K371" s="44"/>
    </row>
    <row r="372" spans="7:11" x14ac:dyDescent="0.2">
      <c r="G372" s="44"/>
      <c r="H372" s="44"/>
      <c r="I372" s="44"/>
      <c r="J372" s="44"/>
      <c r="K372" s="44"/>
    </row>
    <row r="373" spans="7:11" x14ac:dyDescent="0.2">
      <c r="G373" s="46"/>
      <c r="H373" s="46"/>
      <c r="I373" s="44"/>
      <c r="J373" s="44"/>
      <c r="K373" s="44"/>
    </row>
    <row r="374" spans="7:11" x14ac:dyDescent="0.2">
      <c r="G374" s="44"/>
      <c r="H374" s="44"/>
      <c r="I374" s="44"/>
      <c r="J374" s="44"/>
      <c r="K374" s="44"/>
    </row>
    <row r="375" spans="7:11" x14ac:dyDescent="0.2">
      <c r="G375" s="44"/>
      <c r="H375" s="44"/>
      <c r="I375" s="44"/>
      <c r="J375" s="44"/>
      <c r="K375" s="44"/>
    </row>
    <row r="376" spans="7:11" x14ac:dyDescent="0.2">
      <c r="G376" s="44"/>
      <c r="H376" s="44"/>
      <c r="I376" s="44"/>
      <c r="J376" s="44"/>
      <c r="K376" s="46"/>
    </row>
    <row r="377" spans="7:11" x14ac:dyDescent="0.2">
      <c r="G377" s="44"/>
      <c r="H377" s="44"/>
      <c r="I377" s="44"/>
      <c r="J377" s="44"/>
      <c r="K377" s="44"/>
    </row>
    <row r="378" spans="7:11" x14ac:dyDescent="0.2">
      <c r="G378" s="44"/>
      <c r="H378" s="44"/>
      <c r="I378" s="44"/>
      <c r="J378" s="44"/>
      <c r="K378" s="44"/>
    </row>
    <row r="379" spans="7:11" x14ac:dyDescent="0.2">
      <c r="G379" s="44"/>
      <c r="H379" s="44"/>
      <c r="I379" s="44"/>
      <c r="J379" s="44"/>
      <c r="K379" s="44"/>
    </row>
    <row r="380" spans="7:11" x14ac:dyDescent="0.2">
      <c r="G380" s="44"/>
      <c r="H380" s="44"/>
      <c r="I380" s="44"/>
      <c r="J380" s="44"/>
      <c r="K380" s="44"/>
    </row>
    <row r="381" spans="7:11" x14ac:dyDescent="0.2">
      <c r="G381" s="46"/>
      <c r="H381" s="44"/>
      <c r="I381" s="44"/>
      <c r="J381" s="44"/>
      <c r="K381" s="44"/>
    </row>
    <row r="382" spans="7:11" x14ac:dyDescent="0.2">
      <c r="G382" s="44"/>
      <c r="H382" s="44"/>
      <c r="I382" s="44"/>
      <c r="J382" s="44"/>
      <c r="K382" s="44"/>
    </row>
    <row r="383" spans="7:11" x14ac:dyDescent="0.2">
      <c r="G383" s="44"/>
      <c r="H383" s="44"/>
      <c r="I383" s="44"/>
      <c r="J383" s="44"/>
      <c r="K383" s="44"/>
    </row>
    <row r="384" spans="7:11" x14ac:dyDescent="0.2">
      <c r="G384" s="44"/>
      <c r="H384" s="44"/>
      <c r="I384" s="44"/>
      <c r="J384" s="44"/>
      <c r="K384" s="44"/>
    </row>
    <row r="385" spans="7:11" x14ac:dyDescent="0.2">
      <c r="G385" s="44"/>
      <c r="H385" s="44"/>
      <c r="I385" s="44"/>
      <c r="J385" s="44"/>
      <c r="K385" s="44"/>
    </row>
    <row r="386" spans="7:11" x14ac:dyDescent="0.2">
      <c r="G386" s="44"/>
      <c r="H386" s="44"/>
      <c r="I386" s="44"/>
      <c r="J386" s="44"/>
      <c r="K386" s="44"/>
    </row>
    <row r="387" spans="7:11" x14ac:dyDescent="0.2">
      <c r="G387" s="44"/>
      <c r="H387" s="44"/>
      <c r="I387" s="44"/>
      <c r="J387" s="44"/>
      <c r="K387" s="44"/>
    </row>
    <row r="388" spans="7:11" x14ac:dyDescent="0.2">
      <c r="G388" s="44"/>
      <c r="H388" s="44"/>
      <c r="I388" s="44"/>
      <c r="J388" s="44"/>
      <c r="K388" s="44"/>
    </row>
    <row r="389" spans="7:11" x14ac:dyDescent="0.2">
      <c r="G389" s="44"/>
      <c r="H389" s="44"/>
      <c r="I389" s="44"/>
      <c r="J389" s="44"/>
      <c r="K389" s="44"/>
    </row>
    <row r="390" spans="7:11" x14ac:dyDescent="0.2">
      <c r="G390" s="44"/>
      <c r="H390" s="44"/>
      <c r="I390" s="44"/>
      <c r="J390" s="44"/>
      <c r="K390" s="44"/>
    </row>
    <row r="391" spans="7:11" x14ac:dyDescent="0.2">
      <c r="G391" s="44"/>
      <c r="H391" s="44"/>
      <c r="I391" s="44"/>
      <c r="J391" s="44"/>
      <c r="K391" s="44"/>
    </row>
    <row r="392" spans="7:11" x14ac:dyDescent="0.2">
      <c r="G392" s="44"/>
      <c r="H392" s="46"/>
      <c r="I392" s="44"/>
      <c r="J392" s="44"/>
      <c r="K392" s="44"/>
    </row>
    <row r="393" spans="7:11" x14ac:dyDescent="0.2">
      <c r="G393" s="44"/>
      <c r="H393" s="44"/>
      <c r="I393" s="44"/>
      <c r="J393" s="44"/>
      <c r="K393" s="44"/>
    </row>
    <row r="394" spans="7:11" x14ac:dyDescent="0.2">
      <c r="G394" s="44"/>
      <c r="H394" s="44"/>
      <c r="I394" s="44"/>
      <c r="J394" s="44"/>
      <c r="K394" s="44"/>
    </row>
    <row r="395" spans="7:11" x14ac:dyDescent="0.2">
      <c r="G395" s="44"/>
      <c r="H395" s="46"/>
      <c r="I395" s="44"/>
      <c r="J395" s="44"/>
      <c r="K395" s="44"/>
    </row>
    <row r="396" spans="7:11" x14ac:dyDescent="0.2">
      <c r="G396" s="44"/>
      <c r="H396" s="44"/>
      <c r="I396" s="44"/>
      <c r="J396" s="44"/>
      <c r="K396" s="44"/>
    </row>
    <row r="397" spans="7:11" x14ac:dyDescent="0.2">
      <c r="G397" s="44"/>
      <c r="H397" s="44"/>
      <c r="I397" s="44"/>
      <c r="J397" s="44"/>
      <c r="K397" s="44"/>
    </row>
    <row r="398" spans="7:11" x14ac:dyDescent="0.2">
      <c r="G398" s="44"/>
      <c r="H398" s="44"/>
      <c r="I398" s="44"/>
      <c r="J398" s="44"/>
      <c r="K398" s="44"/>
    </row>
    <row r="399" spans="7:11" x14ac:dyDescent="0.2">
      <c r="G399" s="44"/>
      <c r="H399" s="44"/>
      <c r="I399" s="44"/>
      <c r="J399" s="44"/>
      <c r="K399" s="44"/>
    </row>
    <row r="400" spans="7:11" x14ac:dyDescent="0.2">
      <c r="G400" s="44"/>
      <c r="H400" s="44"/>
      <c r="I400" s="44"/>
      <c r="J400" s="44"/>
      <c r="K400" s="44"/>
    </row>
    <row r="401" spans="7:11" x14ac:dyDescent="0.2">
      <c r="G401" s="46"/>
      <c r="H401" s="44"/>
      <c r="I401" s="44"/>
      <c r="J401" s="44"/>
      <c r="K401" s="44"/>
    </row>
    <row r="402" spans="7:11" x14ac:dyDescent="0.2">
      <c r="G402" s="44"/>
      <c r="H402" s="46"/>
      <c r="I402" s="44"/>
      <c r="J402" s="46"/>
      <c r="K402" s="44"/>
    </row>
    <row r="403" spans="7:11" x14ac:dyDescent="0.2">
      <c r="G403" s="44"/>
      <c r="H403" s="44"/>
      <c r="I403" s="44"/>
      <c r="J403" s="44"/>
      <c r="K403" s="44"/>
    </row>
    <row r="404" spans="7:11" x14ac:dyDescent="0.2">
      <c r="G404" s="44"/>
      <c r="H404" s="44"/>
      <c r="I404" s="44"/>
      <c r="J404" s="44"/>
      <c r="K404" s="44"/>
    </row>
    <row r="405" spans="7:11" x14ac:dyDescent="0.2">
      <c r="G405" s="44"/>
      <c r="H405" s="44"/>
      <c r="I405" s="44"/>
      <c r="J405" s="44"/>
      <c r="K405" s="44"/>
    </row>
    <row r="406" spans="7:11" x14ac:dyDescent="0.2">
      <c r="G406" s="44"/>
      <c r="H406" s="44"/>
      <c r="I406" s="44"/>
      <c r="J406" s="44"/>
      <c r="K406" s="44"/>
    </row>
    <row r="407" spans="7:11" x14ac:dyDescent="0.2">
      <c r="G407" s="46"/>
      <c r="H407" s="44"/>
      <c r="I407" s="44"/>
      <c r="J407" s="44"/>
      <c r="K407" s="44"/>
    </row>
    <row r="408" spans="7:11" x14ac:dyDescent="0.2">
      <c r="G408" s="46"/>
      <c r="H408" s="44"/>
      <c r="I408" s="44"/>
      <c r="J408" s="44"/>
      <c r="K408" s="44"/>
    </row>
    <row r="409" spans="7:11" x14ac:dyDescent="0.2">
      <c r="G409" s="44"/>
      <c r="H409" s="44"/>
      <c r="I409" s="44"/>
      <c r="J409" s="44"/>
      <c r="K409" s="44"/>
    </row>
    <row r="410" spans="7:11" x14ac:dyDescent="0.2">
      <c r="G410" s="44"/>
      <c r="H410" s="44"/>
      <c r="I410" s="44"/>
      <c r="J410" s="44"/>
      <c r="K410" s="44"/>
    </row>
    <row r="411" spans="7:11" x14ac:dyDescent="0.2">
      <c r="G411" s="44"/>
      <c r="H411" s="44"/>
      <c r="I411" s="44"/>
      <c r="J411" s="44"/>
      <c r="K411" s="44"/>
    </row>
    <row r="412" spans="7:11" x14ac:dyDescent="0.2">
      <c r="G412" s="44"/>
      <c r="H412" s="44"/>
      <c r="I412" s="44"/>
      <c r="J412" s="44"/>
      <c r="K412" s="44"/>
    </row>
    <row r="413" spans="7:11" x14ac:dyDescent="0.2">
      <c r="G413" s="45"/>
      <c r="H413" s="45"/>
      <c r="I413" s="45"/>
      <c r="J413" s="45"/>
      <c r="K413" s="45"/>
    </row>
    <row r="414" spans="7:11" x14ac:dyDescent="0.2">
      <c r="G414" s="39"/>
      <c r="H414" s="44"/>
      <c r="I414" s="44"/>
      <c r="J414" s="44"/>
      <c r="K414" s="44"/>
    </row>
    <row r="415" spans="7:11" x14ac:dyDescent="0.2">
      <c r="G415" s="44"/>
      <c r="H415" s="44"/>
      <c r="I415" s="44"/>
      <c r="J415" s="44"/>
      <c r="K415" s="44"/>
    </row>
    <row r="416" spans="7:11" x14ac:dyDescent="0.2">
      <c r="G416" s="44"/>
      <c r="H416" s="44"/>
      <c r="I416" s="44"/>
      <c r="J416" s="44"/>
      <c r="K416" s="44"/>
    </row>
    <row r="417" spans="7:11" x14ac:dyDescent="0.2">
      <c r="G417" s="46"/>
      <c r="H417" s="46"/>
      <c r="I417" s="44"/>
      <c r="J417" s="44"/>
      <c r="K417" s="44"/>
    </row>
    <row r="418" spans="7:11" x14ac:dyDescent="0.2">
      <c r="G418" s="44"/>
      <c r="H418" s="44"/>
      <c r="I418" s="44"/>
      <c r="J418" s="44"/>
      <c r="K418" s="44"/>
    </row>
    <row r="419" spans="7:11" x14ac:dyDescent="0.2">
      <c r="G419" s="44"/>
      <c r="H419" s="44"/>
      <c r="I419" s="44"/>
      <c r="J419" s="44"/>
      <c r="K419" s="44"/>
    </row>
    <row r="420" spans="7:11" x14ac:dyDescent="0.2">
      <c r="G420" s="44"/>
      <c r="H420" s="44"/>
      <c r="I420" s="44"/>
      <c r="J420" s="44"/>
      <c r="K420" s="44"/>
    </row>
    <row r="421" spans="7:11" x14ac:dyDescent="0.2">
      <c r="G421" s="44"/>
      <c r="H421" s="44"/>
      <c r="I421" s="44"/>
      <c r="J421" s="44"/>
      <c r="K421" s="44"/>
    </row>
    <row r="422" spans="7:11" x14ac:dyDescent="0.2">
      <c r="G422" s="44"/>
      <c r="H422" s="44"/>
      <c r="I422" s="44"/>
      <c r="J422" s="44"/>
      <c r="K422" s="44"/>
    </row>
    <row r="423" spans="7:11" x14ac:dyDescent="0.2">
      <c r="G423" s="44"/>
      <c r="H423" s="44"/>
      <c r="I423" s="44"/>
      <c r="J423" s="44"/>
      <c r="K423" s="44"/>
    </row>
    <row r="424" spans="7:11" x14ac:dyDescent="0.2">
      <c r="G424" s="44"/>
      <c r="H424" s="44"/>
      <c r="I424" s="44"/>
      <c r="J424" s="44"/>
      <c r="K424" s="44"/>
    </row>
    <row r="425" spans="7:11" x14ac:dyDescent="0.2">
      <c r="G425" s="44"/>
      <c r="H425" s="44"/>
      <c r="I425" s="44"/>
      <c r="J425" s="44"/>
      <c r="K425" s="44"/>
    </row>
    <row r="426" spans="7:11" x14ac:dyDescent="0.2">
      <c r="G426" s="44"/>
      <c r="H426" s="44"/>
      <c r="I426" s="44"/>
      <c r="J426" s="44"/>
      <c r="K426" s="44"/>
    </row>
    <row r="427" spans="7:11" x14ac:dyDescent="0.2">
      <c r="G427" s="44"/>
      <c r="H427" s="44"/>
      <c r="I427" s="44"/>
      <c r="J427" s="46"/>
      <c r="K427" s="44"/>
    </row>
    <row r="428" spans="7:11" x14ac:dyDescent="0.2">
      <c r="G428" s="44"/>
      <c r="H428" s="44"/>
      <c r="I428" s="44"/>
      <c r="J428" s="44"/>
      <c r="K428" s="44"/>
    </row>
    <row r="429" spans="7:11" x14ac:dyDescent="0.2">
      <c r="G429" s="44"/>
      <c r="H429" s="44"/>
      <c r="I429" s="44"/>
      <c r="J429" s="44"/>
      <c r="K429" s="44"/>
    </row>
    <row r="430" spans="7:11" x14ac:dyDescent="0.2">
      <c r="G430" s="44"/>
      <c r="H430" s="44"/>
      <c r="I430" s="44"/>
      <c r="J430" s="44"/>
      <c r="K430" s="44"/>
    </row>
    <row r="431" spans="7:11" x14ac:dyDescent="0.2">
      <c r="G431" s="46"/>
      <c r="H431" s="44"/>
      <c r="I431" s="44"/>
      <c r="J431" s="44"/>
      <c r="K431" s="44"/>
    </row>
    <row r="432" spans="7:11" x14ac:dyDescent="0.2">
      <c r="G432" s="44"/>
      <c r="H432" s="44"/>
      <c r="I432" s="44"/>
      <c r="J432" s="44"/>
      <c r="K432" s="44"/>
    </row>
    <row r="433" spans="7:11" x14ac:dyDescent="0.2">
      <c r="G433" s="44"/>
      <c r="H433" s="44"/>
      <c r="I433" s="44"/>
      <c r="J433" s="44"/>
      <c r="K433" s="44"/>
    </row>
    <row r="434" spans="7:11" x14ac:dyDescent="0.2">
      <c r="G434" s="44"/>
      <c r="H434" s="44"/>
      <c r="I434" s="44"/>
      <c r="J434" s="44"/>
      <c r="K434" s="44"/>
    </row>
    <row r="435" spans="7:11" x14ac:dyDescent="0.2">
      <c r="G435" s="44"/>
      <c r="H435" s="44"/>
      <c r="I435" s="44"/>
      <c r="J435" s="44"/>
      <c r="K435" s="44"/>
    </row>
    <row r="436" spans="7:11" x14ac:dyDescent="0.2">
      <c r="G436" s="44"/>
      <c r="H436" s="44"/>
      <c r="I436" s="44"/>
      <c r="J436" s="44"/>
      <c r="K436" s="44"/>
    </row>
    <row r="437" spans="7:11" x14ac:dyDescent="0.2">
      <c r="G437" s="44"/>
      <c r="H437" s="44"/>
      <c r="I437" s="44"/>
      <c r="J437" s="44"/>
      <c r="K437" s="44"/>
    </row>
    <row r="438" spans="7:11" x14ac:dyDescent="0.2">
      <c r="G438" s="44"/>
      <c r="H438" s="44"/>
      <c r="I438" s="44"/>
      <c r="J438" s="44"/>
      <c r="K438" s="44"/>
    </row>
    <row r="439" spans="7:11" x14ac:dyDescent="0.2">
      <c r="G439" s="44"/>
      <c r="H439" s="44"/>
      <c r="I439" s="44"/>
      <c r="J439" s="44"/>
      <c r="K439" s="44"/>
    </row>
    <row r="440" spans="7:11" x14ac:dyDescent="0.2">
      <c r="G440" s="44"/>
      <c r="H440" s="44"/>
      <c r="I440" s="44"/>
      <c r="J440" s="44"/>
      <c r="K440" s="44"/>
    </row>
    <row r="441" spans="7:11" x14ac:dyDescent="0.2">
      <c r="G441" s="44"/>
      <c r="H441" s="44"/>
      <c r="I441" s="44"/>
      <c r="J441" s="44"/>
      <c r="K441" s="44"/>
    </row>
    <row r="442" spans="7:11" x14ac:dyDescent="0.2">
      <c r="G442" s="44"/>
      <c r="H442" s="44"/>
      <c r="I442" s="44"/>
      <c r="J442" s="44"/>
      <c r="K442" s="44"/>
    </row>
    <row r="443" spans="7:11" x14ac:dyDescent="0.2">
      <c r="G443" s="47"/>
      <c r="H443" s="44"/>
      <c r="I443" s="44"/>
      <c r="J443" s="44"/>
      <c r="K443" s="44"/>
    </row>
    <row r="444" spans="7:11" x14ac:dyDescent="0.2">
      <c r="G444" s="44"/>
      <c r="H444" s="44"/>
      <c r="I444" s="44"/>
      <c r="J444" s="44"/>
      <c r="K444" s="44"/>
    </row>
    <row r="445" spans="7:11" x14ac:dyDescent="0.2">
      <c r="G445" s="44"/>
      <c r="H445" s="44"/>
      <c r="I445" s="44"/>
      <c r="J445" s="44"/>
      <c r="K445" s="44"/>
    </row>
    <row r="446" spans="7:11" x14ac:dyDescent="0.2">
      <c r="G446" s="44"/>
      <c r="H446" s="44"/>
      <c r="I446" s="44"/>
      <c r="J446" s="44"/>
      <c r="K446" s="44"/>
    </row>
    <row r="447" spans="7:11" x14ac:dyDescent="0.2">
      <c r="G447" s="44"/>
      <c r="H447" s="44"/>
      <c r="I447" s="44"/>
      <c r="J447" s="44"/>
      <c r="K447" s="44"/>
    </row>
    <row r="448" spans="7:11" x14ac:dyDescent="0.2">
      <c r="G448" s="44"/>
      <c r="H448" s="44"/>
      <c r="I448" s="44"/>
      <c r="J448" s="44"/>
      <c r="K448" s="44"/>
    </row>
    <row r="449" spans="7:11" x14ac:dyDescent="0.2">
      <c r="G449" s="44"/>
      <c r="H449" s="44"/>
      <c r="I449" s="44"/>
      <c r="J449" s="44"/>
      <c r="K449" s="44"/>
    </row>
    <row r="450" spans="7:11" x14ac:dyDescent="0.2">
      <c r="G450" s="44"/>
      <c r="H450" s="44"/>
      <c r="I450" s="44"/>
      <c r="J450" s="44"/>
      <c r="K450" s="44"/>
    </row>
    <row r="451" spans="7:11" x14ac:dyDescent="0.2">
      <c r="G451" s="44"/>
      <c r="H451" s="44"/>
      <c r="I451" s="44"/>
      <c r="J451" s="44"/>
      <c r="K451" s="44"/>
    </row>
    <row r="452" spans="7:11" x14ac:dyDescent="0.2">
      <c r="G452" s="44"/>
      <c r="H452" s="44"/>
      <c r="I452" s="44"/>
      <c r="J452" s="44"/>
      <c r="K452" s="44"/>
    </row>
    <row r="453" spans="7:11" x14ac:dyDescent="0.2">
      <c r="G453" s="44"/>
      <c r="H453" s="44"/>
      <c r="I453" s="44"/>
      <c r="J453" s="44"/>
      <c r="K453" s="44"/>
    </row>
    <row r="454" spans="7:11" x14ac:dyDescent="0.2">
      <c r="G454" s="44"/>
      <c r="H454" s="44"/>
      <c r="I454" s="44"/>
      <c r="J454" s="44"/>
      <c r="K454" s="44"/>
    </row>
    <row r="455" spans="7:11" x14ac:dyDescent="0.2">
      <c r="G455" s="44"/>
      <c r="H455" s="44"/>
      <c r="I455" s="44"/>
      <c r="J455" s="44"/>
      <c r="K455" s="44"/>
    </row>
    <row r="456" spans="7:11" x14ac:dyDescent="0.2">
      <c r="G456" s="44"/>
      <c r="H456" s="44"/>
      <c r="I456" s="44"/>
      <c r="J456" s="44"/>
      <c r="K456" s="44"/>
    </row>
    <row r="457" spans="7:11" x14ac:dyDescent="0.2">
      <c r="G457" s="44"/>
      <c r="H457" s="44"/>
      <c r="I457" s="44"/>
      <c r="J457" s="44"/>
      <c r="K457" s="44"/>
    </row>
    <row r="458" spans="7:11" x14ac:dyDescent="0.2">
      <c r="G458" s="44"/>
      <c r="H458" s="44"/>
      <c r="I458" s="44"/>
      <c r="J458" s="44"/>
      <c r="K458" s="44"/>
    </row>
    <row r="459" spans="7:11" x14ac:dyDescent="0.2">
      <c r="G459" s="44"/>
      <c r="H459" s="44"/>
      <c r="I459" s="44"/>
      <c r="J459" s="44"/>
      <c r="K459" s="44"/>
    </row>
    <row r="460" spans="7:11" x14ac:dyDescent="0.2">
      <c r="G460" s="44"/>
      <c r="H460" s="44"/>
      <c r="I460" s="44"/>
      <c r="J460" s="44"/>
      <c r="K460" s="44"/>
    </row>
    <row r="461" spans="7:11" x14ac:dyDescent="0.2">
      <c r="G461" s="44"/>
      <c r="H461" s="44"/>
      <c r="I461" s="44"/>
      <c r="J461" s="44"/>
      <c r="K461" s="44"/>
    </row>
    <row r="462" spans="7:11" x14ac:dyDescent="0.2">
      <c r="G462" s="44"/>
      <c r="H462" s="44"/>
      <c r="I462" s="44"/>
      <c r="J462" s="44"/>
      <c r="K462" s="44"/>
    </row>
    <row r="463" spans="7:11" x14ac:dyDescent="0.2">
      <c r="G463" s="44"/>
      <c r="H463" s="44"/>
      <c r="I463" s="44"/>
      <c r="J463" s="44"/>
      <c r="K463" s="44"/>
    </row>
    <row r="464" spans="7:11" x14ac:dyDescent="0.2">
      <c r="G464" s="44"/>
      <c r="H464" s="44"/>
      <c r="I464" s="44"/>
      <c r="J464" s="44"/>
      <c r="K464" s="44"/>
    </row>
    <row r="465" spans="7:11" x14ac:dyDescent="0.2">
      <c r="G465" s="44"/>
      <c r="H465" s="44"/>
      <c r="I465" s="44"/>
      <c r="J465" s="44"/>
      <c r="K465" s="44"/>
    </row>
    <row r="466" spans="7:11" x14ac:dyDescent="0.2">
      <c r="G466" s="44"/>
      <c r="H466" s="44"/>
      <c r="I466" s="44"/>
      <c r="J466" s="44"/>
      <c r="K466" s="44"/>
    </row>
    <row r="467" spans="7:11" x14ac:dyDescent="0.2">
      <c r="G467" s="44"/>
      <c r="H467" s="44"/>
      <c r="I467" s="44"/>
      <c r="J467" s="44"/>
      <c r="K467" s="44"/>
    </row>
    <row r="468" spans="7:11" x14ac:dyDescent="0.2">
      <c r="G468" s="44"/>
      <c r="H468" s="44"/>
      <c r="I468" s="44"/>
      <c r="J468" s="44"/>
      <c r="K468" s="44"/>
    </row>
    <row r="469" spans="7:11" x14ac:dyDescent="0.2">
      <c r="G469" s="44"/>
      <c r="H469" s="44"/>
      <c r="I469" s="44"/>
      <c r="J469" s="44"/>
      <c r="K469" s="44"/>
    </row>
    <row r="470" spans="7:11" x14ac:dyDescent="0.2">
      <c r="G470" s="44"/>
      <c r="H470" s="44"/>
      <c r="I470" s="44"/>
      <c r="J470" s="44"/>
      <c r="K470" s="44"/>
    </row>
    <row r="471" spans="7:11" x14ac:dyDescent="0.2">
      <c r="G471" s="44"/>
      <c r="H471" s="44"/>
      <c r="I471" s="44"/>
      <c r="J471" s="44"/>
      <c r="K471" s="44"/>
    </row>
    <row r="472" spans="7:11" x14ac:dyDescent="0.2">
      <c r="G472" s="44"/>
      <c r="H472" s="44"/>
      <c r="I472" s="44"/>
      <c r="J472" s="44"/>
      <c r="K472" s="44"/>
    </row>
    <row r="473" spans="7:11" x14ac:dyDescent="0.2">
      <c r="G473" s="44"/>
      <c r="H473" s="44"/>
      <c r="I473" s="44"/>
      <c r="J473" s="44"/>
      <c r="K473" s="44"/>
    </row>
    <row r="474" spans="7:11" x14ac:dyDescent="0.2">
      <c r="G474" s="44"/>
      <c r="H474" s="44"/>
      <c r="I474" s="44"/>
      <c r="J474" s="44"/>
      <c r="K474" s="44"/>
    </row>
    <row r="475" spans="7:11" x14ac:dyDescent="0.2">
      <c r="G475" s="44"/>
      <c r="H475" s="44"/>
      <c r="I475" s="44"/>
      <c r="J475" s="44"/>
      <c r="K475" s="44"/>
    </row>
    <row r="476" spans="7:11" x14ac:dyDescent="0.2">
      <c r="G476" s="46"/>
      <c r="H476" s="46"/>
      <c r="I476" s="44"/>
      <c r="J476" s="44"/>
      <c r="K476" s="44"/>
    </row>
    <row r="477" spans="7:11" x14ac:dyDescent="0.2">
      <c r="G477" s="44"/>
      <c r="H477" s="44"/>
      <c r="I477" s="44"/>
      <c r="J477" s="44"/>
      <c r="K477" s="44"/>
    </row>
    <row r="478" spans="7:11" x14ac:dyDescent="0.2">
      <c r="G478" s="44"/>
      <c r="H478" s="44"/>
      <c r="I478" s="44"/>
      <c r="J478" s="44"/>
      <c r="K478" s="44"/>
    </row>
    <row r="479" spans="7:11" x14ac:dyDescent="0.2">
      <c r="G479" s="44"/>
      <c r="H479" s="44"/>
      <c r="I479" s="44"/>
      <c r="J479" s="44"/>
      <c r="K479" s="46"/>
    </row>
    <row r="480" spans="7:11" x14ac:dyDescent="0.2">
      <c r="G480" s="44"/>
      <c r="H480" s="44"/>
      <c r="I480" s="44"/>
      <c r="J480" s="44"/>
      <c r="K480" s="44"/>
    </row>
    <row r="481" spans="7:11" x14ac:dyDescent="0.2">
      <c r="G481" s="44"/>
      <c r="H481" s="44"/>
      <c r="I481" s="44"/>
      <c r="J481" s="44"/>
      <c r="K481" s="44"/>
    </row>
    <row r="482" spans="7:11" x14ac:dyDescent="0.2">
      <c r="G482" s="44"/>
      <c r="H482" s="44"/>
      <c r="I482" s="44"/>
      <c r="J482" s="44"/>
      <c r="K482" s="44"/>
    </row>
    <row r="483" spans="7:11" x14ac:dyDescent="0.2">
      <c r="G483" s="44"/>
      <c r="H483" s="44"/>
      <c r="I483" s="44"/>
      <c r="J483" s="44"/>
      <c r="K483" s="44"/>
    </row>
    <row r="484" spans="7:11" x14ac:dyDescent="0.2">
      <c r="G484" s="46"/>
      <c r="H484" s="44"/>
      <c r="I484" s="44"/>
      <c r="J484" s="44"/>
      <c r="K484" s="44"/>
    </row>
    <row r="485" spans="7:11" x14ac:dyDescent="0.2">
      <c r="G485" s="44"/>
      <c r="H485" s="44"/>
      <c r="I485" s="44"/>
      <c r="J485" s="44"/>
      <c r="K485" s="44"/>
    </row>
    <row r="486" spans="7:11" x14ac:dyDescent="0.2">
      <c r="G486" s="44"/>
      <c r="H486" s="44"/>
      <c r="I486" s="44"/>
      <c r="J486" s="44"/>
      <c r="K486" s="44"/>
    </row>
    <row r="487" spans="7:11" x14ac:dyDescent="0.2">
      <c r="G487" s="44"/>
      <c r="H487" s="44"/>
      <c r="I487" s="44"/>
      <c r="J487" s="44"/>
      <c r="K487" s="44"/>
    </row>
    <row r="488" spans="7:11" x14ac:dyDescent="0.2">
      <c r="G488" s="44"/>
      <c r="H488" s="44"/>
      <c r="I488" s="44"/>
      <c r="J488" s="44"/>
      <c r="K488" s="44"/>
    </row>
    <row r="489" spans="7:11" x14ac:dyDescent="0.2">
      <c r="G489" s="44"/>
      <c r="H489" s="44"/>
      <c r="I489" s="44"/>
      <c r="J489" s="44"/>
      <c r="K489" s="44"/>
    </row>
    <row r="490" spans="7:11" x14ac:dyDescent="0.2">
      <c r="G490" s="44"/>
      <c r="H490" s="44"/>
      <c r="I490" s="44"/>
      <c r="J490" s="44"/>
      <c r="K490" s="44"/>
    </row>
    <row r="491" spans="7:11" x14ac:dyDescent="0.2">
      <c r="G491" s="44"/>
      <c r="H491" s="44"/>
      <c r="I491" s="44"/>
      <c r="J491" s="44"/>
      <c r="K491" s="44"/>
    </row>
    <row r="492" spans="7:11" x14ac:dyDescent="0.2">
      <c r="G492" s="44"/>
      <c r="H492" s="44"/>
      <c r="I492" s="44"/>
      <c r="J492" s="44"/>
      <c r="K492" s="44"/>
    </row>
    <row r="493" spans="7:11" x14ac:dyDescent="0.2">
      <c r="G493" s="44"/>
      <c r="H493" s="44"/>
      <c r="I493" s="44"/>
      <c r="J493" s="44"/>
      <c r="K493" s="44"/>
    </row>
    <row r="494" spans="7:11" x14ac:dyDescent="0.2">
      <c r="G494" s="44"/>
      <c r="H494" s="44"/>
      <c r="I494" s="44"/>
      <c r="J494" s="44"/>
      <c r="K494" s="44"/>
    </row>
    <row r="495" spans="7:11" x14ac:dyDescent="0.2">
      <c r="G495" s="44"/>
      <c r="H495" s="46"/>
      <c r="I495" s="44"/>
      <c r="J495" s="44"/>
      <c r="K495" s="44"/>
    </row>
    <row r="496" spans="7:11" x14ac:dyDescent="0.2">
      <c r="G496" s="44"/>
      <c r="H496" s="44"/>
      <c r="I496" s="44"/>
      <c r="J496" s="44"/>
      <c r="K496" s="44"/>
    </row>
    <row r="497" spans="7:11" x14ac:dyDescent="0.2">
      <c r="G497" s="44"/>
      <c r="H497" s="44"/>
      <c r="I497" s="44"/>
      <c r="J497" s="44"/>
      <c r="K497" s="44"/>
    </row>
    <row r="498" spans="7:11" x14ac:dyDescent="0.2">
      <c r="G498" s="44"/>
      <c r="H498" s="46"/>
      <c r="I498" s="44"/>
      <c r="J498" s="44"/>
      <c r="K498" s="44"/>
    </row>
    <row r="499" spans="7:11" x14ac:dyDescent="0.2">
      <c r="G499" s="44"/>
      <c r="H499" s="44"/>
      <c r="I499" s="44"/>
      <c r="J499" s="44"/>
      <c r="K499" s="44"/>
    </row>
    <row r="500" spans="7:11" x14ac:dyDescent="0.2">
      <c r="G500" s="44"/>
      <c r="H500" s="44"/>
      <c r="I500" s="44"/>
      <c r="J500" s="44"/>
      <c r="K500" s="44"/>
    </row>
    <row r="501" spans="7:11" x14ac:dyDescent="0.2">
      <c r="G501" s="44"/>
      <c r="H501" s="44"/>
      <c r="I501" s="44"/>
      <c r="J501" s="44"/>
      <c r="K501" s="44"/>
    </row>
    <row r="502" spans="7:11" x14ac:dyDescent="0.2">
      <c r="G502" s="44"/>
      <c r="H502" s="44"/>
      <c r="I502" s="44"/>
      <c r="J502" s="44"/>
      <c r="K502" s="44"/>
    </row>
    <row r="503" spans="7:11" x14ac:dyDescent="0.2">
      <c r="G503" s="44"/>
      <c r="H503" s="44"/>
      <c r="I503" s="44"/>
      <c r="J503" s="44"/>
      <c r="K503" s="44"/>
    </row>
    <row r="504" spans="7:11" x14ac:dyDescent="0.2">
      <c r="G504" s="46"/>
      <c r="H504" s="44"/>
      <c r="I504" s="44"/>
      <c r="J504" s="44"/>
      <c r="K504" s="44"/>
    </row>
    <row r="505" spans="7:11" x14ac:dyDescent="0.2">
      <c r="G505" s="44"/>
      <c r="H505" s="46"/>
      <c r="I505" s="44"/>
      <c r="J505" s="46"/>
      <c r="K505" s="44"/>
    </row>
    <row r="506" spans="7:11" x14ac:dyDescent="0.2">
      <c r="G506" s="44"/>
      <c r="H506" s="44"/>
      <c r="I506" s="44"/>
      <c r="J506" s="44"/>
      <c r="K506" s="44"/>
    </row>
    <row r="507" spans="7:11" x14ac:dyDescent="0.2">
      <c r="G507" s="44"/>
      <c r="H507" s="44"/>
      <c r="I507" s="44"/>
      <c r="J507" s="44"/>
      <c r="K507" s="44"/>
    </row>
    <row r="508" spans="7:11" x14ac:dyDescent="0.2">
      <c r="G508" s="44"/>
      <c r="H508" s="44"/>
      <c r="I508" s="44"/>
      <c r="J508" s="44"/>
      <c r="K508" s="44"/>
    </row>
    <row r="509" spans="7:11" x14ac:dyDescent="0.2">
      <c r="G509" s="44"/>
      <c r="H509" s="44"/>
      <c r="I509" s="44"/>
      <c r="J509" s="44"/>
      <c r="K509" s="44"/>
    </row>
    <row r="510" spans="7:11" x14ac:dyDescent="0.2">
      <c r="G510" s="46"/>
      <c r="H510" s="44"/>
      <c r="I510" s="44"/>
      <c r="J510" s="44"/>
      <c r="K510" s="44"/>
    </row>
    <row r="511" spans="7:11" x14ac:dyDescent="0.2">
      <c r="G511" s="46"/>
      <c r="H511" s="44"/>
      <c r="I511" s="44"/>
      <c r="J511" s="44"/>
      <c r="K511" s="44"/>
    </row>
    <row r="512" spans="7:11" x14ac:dyDescent="0.2">
      <c r="G512" s="44"/>
      <c r="H512" s="44"/>
      <c r="I512" s="44"/>
      <c r="J512" s="44"/>
      <c r="K512" s="44"/>
    </row>
    <row r="513" spans="7:11" x14ac:dyDescent="0.2">
      <c r="G513" s="44"/>
      <c r="H513" s="44"/>
      <c r="I513" s="44"/>
      <c r="J513" s="44"/>
      <c r="K513" s="44"/>
    </row>
    <row r="514" spans="7:11" x14ac:dyDescent="0.2">
      <c r="G514" s="44"/>
      <c r="H514" s="44"/>
      <c r="I514" s="44"/>
      <c r="J514" s="44"/>
      <c r="K514" s="44"/>
    </row>
    <row r="515" spans="7:11" x14ac:dyDescent="0.2">
      <c r="G515" s="44"/>
      <c r="H515" s="44"/>
      <c r="I515" s="44"/>
      <c r="J515" s="44"/>
      <c r="K515" s="44"/>
    </row>
    <row r="516" spans="7:11" x14ac:dyDescent="0.2">
      <c r="G516" s="45"/>
      <c r="H516" s="45"/>
      <c r="I516" s="45"/>
      <c r="J516" s="45"/>
      <c r="K516" s="45"/>
    </row>
    <row r="517" spans="7:11" x14ac:dyDescent="0.2">
      <c r="G517" s="39"/>
      <c r="H517" s="44"/>
      <c r="I517" s="44"/>
      <c r="J517" s="44"/>
      <c r="K517" s="44"/>
    </row>
    <row r="518" spans="7:11" x14ac:dyDescent="0.2">
      <c r="G518" s="44"/>
      <c r="H518" s="44"/>
      <c r="I518" s="44"/>
      <c r="J518" s="44"/>
      <c r="K518" s="44"/>
    </row>
    <row r="519" spans="7:11" x14ac:dyDescent="0.2">
      <c r="G519" s="44"/>
      <c r="H519" s="44"/>
      <c r="I519" s="44"/>
      <c r="J519" s="44"/>
      <c r="K519" s="44"/>
    </row>
    <row r="520" spans="7:11" x14ac:dyDescent="0.2">
      <c r="G520" s="46"/>
      <c r="H520" s="46"/>
      <c r="I520" s="44"/>
      <c r="J520" s="44"/>
      <c r="K520" s="44"/>
    </row>
    <row r="521" spans="7:11" x14ac:dyDescent="0.2">
      <c r="G521" s="44"/>
      <c r="H521" s="44"/>
      <c r="I521" s="44"/>
      <c r="J521" s="44"/>
      <c r="K521" s="44"/>
    </row>
    <row r="522" spans="7:11" x14ac:dyDescent="0.2">
      <c r="G522" s="44"/>
      <c r="H522" s="44"/>
      <c r="I522" s="44"/>
      <c r="J522" s="44"/>
      <c r="K522" s="44"/>
    </row>
    <row r="523" spans="7:11" x14ac:dyDescent="0.2">
      <c r="G523" s="44"/>
      <c r="H523" s="44"/>
      <c r="I523" s="44"/>
      <c r="J523" s="44"/>
      <c r="K523" s="44"/>
    </row>
    <row r="524" spans="7:11" x14ac:dyDescent="0.2">
      <c r="G524" s="44"/>
      <c r="H524" s="44"/>
      <c r="I524" s="44"/>
      <c r="J524" s="44"/>
      <c r="K524" s="44"/>
    </row>
    <row r="525" spans="7:11" x14ac:dyDescent="0.2">
      <c r="G525" s="44"/>
      <c r="H525" s="44"/>
      <c r="I525" s="44"/>
      <c r="J525" s="44"/>
      <c r="K525" s="44"/>
    </row>
    <row r="526" spans="7:11" x14ac:dyDescent="0.2">
      <c r="G526" s="44"/>
      <c r="H526" s="44"/>
      <c r="I526" s="44"/>
      <c r="J526" s="44"/>
      <c r="K526" s="44"/>
    </row>
    <row r="527" spans="7:11" x14ac:dyDescent="0.2">
      <c r="G527" s="44"/>
      <c r="H527" s="44"/>
      <c r="I527" s="44"/>
      <c r="J527" s="44"/>
      <c r="K527" s="44"/>
    </row>
    <row r="528" spans="7:11" x14ac:dyDescent="0.2">
      <c r="G528" s="44"/>
      <c r="H528" s="44"/>
      <c r="I528" s="44"/>
      <c r="J528" s="44"/>
      <c r="K528" s="44"/>
    </row>
    <row r="529" spans="7:11" x14ac:dyDescent="0.2">
      <c r="G529" s="44"/>
      <c r="H529" s="44"/>
      <c r="I529" s="44"/>
      <c r="J529" s="44"/>
      <c r="K529" s="44"/>
    </row>
    <row r="530" spans="7:11" x14ac:dyDescent="0.2">
      <c r="G530" s="44"/>
      <c r="H530" s="44"/>
      <c r="I530" s="44"/>
      <c r="J530" s="46"/>
      <c r="K530" s="44"/>
    </row>
    <row r="531" spans="7:11" x14ac:dyDescent="0.2">
      <c r="G531" s="44"/>
      <c r="H531" s="44"/>
      <c r="I531" s="44"/>
      <c r="J531" s="44"/>
      <c r="K531" s="44"/>
    </row>
    <row r="532" spans="7:11" x14ac:dyDescent="0.2">
      <c r="G532" s="44"/>
      <c r="H532" s="44"/>
      <c r="I532" s="44"/>
      <c r="J532" s="44"/>
      <c r="K532" s="44"/>
    </row>
    <row r="533" spans="7:11" x14ac:dyDescent="0.2">
      <c r="G533" s="44"/>
      <c r="H533" s="44"/>
      <c r="I533" s="44"/>
      <c r="J533" s="44"/>
      <c r="K533" s="44"/>
    </row>
    <row r="534" spans="7:11" x14ac:dyDescent="0.2">
      <c r="G534" s="46"/>
      <c r="H534" s="44"/>
      <c r="I534" s="44"/>
      <c r="J534" s="44"/>
      <c r="K534" s="44"/>
    </row>
    <row r="535" spans="7:11" x14ac:dyDescent="0.2">
      <c r="G535" s="44"/>
      <c r="H535" s="44"/>
      <c r="I535" s="44"/>
      <c r="J535" s="44"/>
      <c r="K535" s="44"/>
    </row>
    <row r="536" spans="7:11" x14ac:dyDescent="0.2">
      <c r="G536" s="44"/>
      <c r="H536" s="44"/>
      <c r="I536" s="44"/>
      <c r="J536" s="44"/>
      <c r="K536" s="44"/>
    </row>
    <row r="537" spans="7:11" x14ac:dyDescent="0.2">
      <c r="G537" s="44"/>
      <c r="H537" s="44"/>
      <c r="I537" s="44"/>
      <c r="J537" s="44"/>
      <c r="K537" s="44"/>
    </row>
    <row r="538" spans="7:11" x14ac:dyDescent="0.2">
      <c r="G538" s="44"/>
      <c r="H538" s="44"/>
      <c r="I538" s="44"/>
      <c r="J538" s="44"/>
      <c r="K538" s="44"/>
    </row>
    <row r="539" spans="7:11" x14ac:dyDescent="0.2">
      <c r="G539" s="44"/>
      <c r="H539" s="44"/>
      <c r="I539" s="44"/>
      <c r="J539" s="44"/>
      <c r="K539" s="44"/>
    </row>
    <row r="540" spans="7:11" x14ac:dyDescent="0.2">
      <c r="G540" s="44"/>
      <c r="H540" s="44"/>
      <c r="I540" s="44"/>
      <c r="J540" s="44"/>
      <c r="K540" s="44"/>
    </row>
    <row r="541" spans="7:11" x14ac:dyDescent="0.2">
      <c r="G541" s="44"/>
      <c r="H541" s="44"/>
      <c r="I541" s="44"/>
      <c r="J541" s="44"/>
      <c r="K541" s="44"/>
    </row>
    <row r="542" spans="7:11" x14ac:dyDescent="0.2">
      <c r="G542" s="44"/>
      <c r="H542" s="44"/>
      <c r="I542" s="44"/>
      <c r="J542" s="44"/>
      <c r="K542" s="44"/>
    </row>
    <row r="543" spans="7:11" x14ac:dyDescent="0.2">
      <c r="G543" s="44"/>
      <c r="H543" s="44"/>
      <c r="I543" s="44"/>
      <c r="J543" s="44"/>
      <c r="K543" s="44"/>
    </row>
    <row r="544" spans="7:11" x14ac:dyDescent="0.2">
      <c r="G544" s="44"/>
      <c r="H544" s="44"/>
      <c r="I544" s="44"/>
      <c r="J544" s="44"/>
      <c r="K544" s="44"/>
    </row>
    <row r="545" spans="7:11" x14ac:dyDescent="0.2">
      <c r="G545" s="44"/>
      <c r="H545" s="44"/>
      <c r="I545" s="44"/>
      <c r="J545" s="44"/>
      <c r="K545" s="44"/>
    </row>
    <row r="546" spans="7:11" x14ac:dyDescent="0.2">
      <c r="G546" s="47"/>
      <c r="H546" s="44"/>
      <c r="I546" s="44"/>
      <c r="J546" s="44"/>
      <c r="K546" s="44"/>
    </row>
    <row r="547" spans="7:11" x14ac:dyDescent="0.2">
      <c r="G547" s="44"/>
      <c r="H547" s="44"/>
      <c r="I547" s="44"/>
      <c r="J547" s="44"/>
      <c r="K547" s="44"/>
    </row>
    <row r="548" spans="7:11" x14ac:dyDescent="0.2">
      <c r="G548" s="44"/>
      <c r="H548" s="44"/>
      <c r="I548" s="44"/>
      <c r="J548" s="44"/>
      <c r="K548" s="44"/>
    </row>
    <row r="549" spans="7:11" x14ac:dyDescent="0.2">
      <c r="G549" s="44"/>
      <c r="H549" s="44"/>
      <c r="I549" s="44"/>
      <c r="J549" s="44"/>
      <c r="K549" s="44"/>
    </row>
    <row r="550" spans="7:11" x14ac:dyDescent="0.2">
      <c r="G550" s="44"/>
      <c r="H550" s="44"/>
      <c r="I550" s="44"/>
      <c r="J550" s="44"/>
      <c r="K550" s="44"/>
    </row>
    <row r="551" spans="7:11" x14ac:dyDescent="0.2">
      <c r="G551" s="44"/>
      <c r="H551" s="44"/>
      <c r="I551" s="44"/>
      <c r="J551" s="44"/>
      <c r="K551" s="44"/>
    </row>
    <row r="552" spans="7:11" x14ac:dyDescent="0.2">
      <c r="G552" s="44"/>
      <c r="H552" s="44"/>
      <c r="I552" s="44"/>
      <c r="J552" s="44"/>
      <c r="K552" s="44"/>
    </row>
    <row r="553" spans="7:11" x14ac:dyDescent="0.2">
      <c r="G553" s="44"/>
      <c r="H553" s="44"/>
      <c r="I553" s="44"/>
      <c r="J553" s="44"/>
      <c r="K553" s="44"/>
    </row>
    <row r="554" spans="7:11" x14ac:dyDescent="0.2">
      <c r="G554" s="44"/>
      <c r="H554" s="44"/>
      <c r="I554" s="44"/>
      <c r="J554" s="44"/>
      <c r="K554" s="44"/>
    </row>
    <row r="555" spans="7:11" x14ac:dyDescent="0.2">
      <c r="G555" s="44"/>
      <c r="H555" s="44"/>
      <c r="I555" s="44"/>
      <c r="J555" s="44"/>
      <c r="K555" s="44"/>
    </row>
    <row r="556" spans="7:11" x14ac:dyDescent="0.2">
      <c r="G556" s="44"/>
      <c r="H556" s="44"/>
      <c r="I556" s="44"/>
      <c r="J556" s="44"/>
      <c r="K556" s="44"/>
    </row>
    <row r="557" spans="7:11" x14ac:dyDescent="0.2">
      <c r="G557" s="44"/>
      <c r="H557" s="44"/>
      <c r="I557" s="44"/>
      <c r="J557" s="44"/>
      <c r="K557" s="44"/>
    </row>
    <row r="558" spans="7:11" x14ac:dyDescent="0.2">
      <c r="G558" s="44"/>
      <c r="H558" s="44"/>
      <c r="I558" s="44"/>
      <c r="J558" s="44"/>
      <c r="K558" s="44"/>
    </row>
    <row r="559" spans="7:11" x14ac:dyDescent="0.2">
      <c r="G559" s="44"/>
      <c r="H559" s="44"/>
      <c r="I559" s="44"/>
      <c r="J559" s="44"/>
      <c r="K559" s="44"/>
    </row>
    <row r="560" spans="7:11" x14ac:dyDescent="0.2">
      <c r="G560" s="44"/>
      <c r="H560" s="44"/>
      <c r="I560" s="44"/>
      <c r="J560" s="44"/>
      <c r="K560" s="44"/>
    </row>
    <row r="561" spans="7:11" x14ac:dyDescent="0.2">
      <c r="G561" s="44"/>
      <c r="H561" s="44"/>
      <c r="I561" s="44"/>
      <c r="J561" s="44"/>
      <c r="K561" s="44"/>
    </row>
    <row r="562" spans="7:11" x14ac:dyDescent="0.2">
      <c r="G562" s="44"/>
      <c r="H562" s="44"/>
      <c r="I562" s="44"/>
      <c r="J562" s="44"/>
      <c r="K562" s="44"/>
    </row>
    <row r="563" spans="7:11" x14ac:dyDescent="0.2">
      <c r="G563" s="44"/>
      <c r="H563" s="44"/>
      <c r="I563" s="44"/>
      <c r="J563" s="44"/>
      <c r="K563" s="44"/>
    </row>
    <row r="564" spans="7:11" x14ac:dyDescent="0.2">
      <c r="G564" s="44"/>
      <c r="H564" s="44"/>
      <c r="I564" s="44"/>
      <c r="J564" s="44"/>
      <c r="K564" s="44"/>
    </row>
    <row r="565" spans="7:11" x14ac:dyDescent="0.2">
      <c r="G565" s="44"/>
      <c r="H565" s="44"/>
      <c r="I565" s="44"/>
      <c r="J565" s="44"/>
      <c r="K565" s="44"/>
    </row>
    <row r="566" spans="7:11" x14ac:dyDescent="0.2">
      <c r="G566" s="44"/>
      <c r="H566" s="44"/>
      <c r="I566" s="44"/>
      <c r="J566" s="44"/>
      <c r="K566" s="44"/>
    </row>
    <row r="567" spans="7:11" x14ac:dyDescent="0.2">
      <c r="G567" s="44"/>
      <c r="H567" s="44"/>
      <c r="I567" s="44"/>
      <c r="J567" s="44"/>
      <c r="K567" s="44"/>
    </row>
    <row r="568" spans="7:11" x14ac:dyDescent="0.2">
      <c r="G568" s="44"/>
      <c r="H568" s="44"/>
      <c r="I568" s="44"/>
      <c r="J568" s="44"/>
      <c r="K568" s="44"/>
    </row>
    <row r="569" spans="7:11" x14ac:dyDescent="0.2">
      <c r="G569" s="44"/>
      <c r="H569" s="44"/>
      <c r="I569" s="44"/>
      <c r="J569" s="44"/>
      <c r="K569" s="44"/>
    </row>
    <row r="570" spans="7:11" x14ac:dyDescent="0.2">
      <c r="G570" s="44"/>
      <c r="H570" s="44"/>
      <c r="I570" s="44"/>
      <c r="J570" s="44"/>
      <c r="K570" s="44"/>
    </row>
    <row r="571" spans="7:11" x14ac:dyDescent="0.2">
      <c r="G571" s="44"/>
      <c r="H571" s="44"/>
      <c r="I571" s="44"/>
      <c r="J571" s="44"/>
      <c r="K571" s="44"/>
    </row>
    <row r="572" spans="7:11" x14ac:dyDescent="0.2">
      <c r="G572" s="44"/>
      <c r="H572" s="44"/>
      <c r="I572" s="44"/>
      <c r="J572" s="44"/>
      <c r="K572" s="44"/>
    </row>
    <row r="573" spans="7:11" x14ac:dyDescent="0.2">
      <c r="G573" s="44"/>
      <c r="H573" s="44"/>
      <c r="I573" s="44"/>
      <c r="J573" s="44"/>
      <c r="K573" s="44"/>
    </row>
    <row r="574" spans="7:11" x14ac:dyDescent="0.2">
      <c r="G574" s="44"/>
      <c r="H574" s="44"/>
      <c r="I574" s="44"/>
      <c r="J574" s="44"/>
      <c r="K574" s="44"/>
    </row>
    <row r="575" spans="7:11" x14ac:dyDescent="0.2">
      <c r="G575" s="44"/>
      <c r="H575" s="44"/>
      <c r="I575" s="44"/>
      <c r="J575" s="44"/>
      <c r="K575" s="44"/>
    </row>
    <row r="576" spans="7:11" x14ac:dyDescent="0.2">
      <c r="G576" s="44"/>
      <c r="H576" s="44"/>
      <c r="I576" s="44"/>
      <c r="J576" s="44"/>
      <c r="K576" s="44"/>
    </row>
    <row r="577" spans="7:11" x14ac:dyDescent="0.2">
      <c r="G577" s="44"/>
      <c r="H577" s="44"/>
      <c r="I577" s="44"/>
      <c r="J577" s="44"/>
      <c r="K577" s="44"/>
    </row>
    <row r="578" spans="7:11" x14ac:dyDescent="0.2">
      <c r="G578" s="44"/>
      <c r="H578" s="44"/>
      <c r="I578" s="44"/>
      <c r="J578" s="44"/>
      <c r="K578" s="44"/>
    </row>
    <row r="579" spans="7:11" x14ac:dyDescent="0.2">
      <c r="G579" s="46"/>
      <c r="H579" s="46"/>
      <c r="I579" s="44"/>
      <c r="J579" s="44"/>
      <c r="K579" s="44"/>
    </row>
    <row r="580" spans="7:11" x14ac:dyDescent="0.2">
      <c r="G580" s="44"/>
      <c r="H580" s="44"/>
      <c r="I580" s="44"/>
      <c r="J580" s="44"/>
      <c r="K580" s="44"/>
    </row>
    <row r="581" spans="7:11" x14ac:dyDescent="0.2">
      <c r="G581" s="44"/>
      <c r="H581" s="44"/>
      <c r="I581" s="44"/>
      <c r="J581" s="44"/>
      <c r="K581" s="44"/>
    </row>
    <row r="582" spans="7:11" x14ac:dyDescent="0.2">
      <c r="G582" s="44"/>
      <c r="H582" s="44"/>
      <c r="I582" s="44"/>
      <c r="J582" s="44"/>
      <c r="K582" s="46"/>
    </row>
    <row r="583" spans="7:11" x14ac:dyDescent="0.2">
      <c r="G583" s="44"/>
      <c r="H583" s="44"/>
      <c r="I583" s="44"/>
      <c r="J583" s="44"/>
      <c r="K583" s="44"/>
    </row>
    <row r="584" spans="7:11" x14ac:dyDescent="0.2">
      <c r="G584" s="44"/>
      <c r="H584" s="44"/>
      <c r="I584" s="44"/>
      <c r="J584" s="44"/>
      <c r="K584" s="44"/>
    </row>
    <row r="585" spans="7:11" x14ac:dyDescent="0.2">
      <c r="G585" s="44"/>
      <c r="H585" s="44"/>
      <c r="I585" s="44"/>
      <c r="J585" s="44"/>
      <c r="K585" s="44"/>
    </row>
    <row r="586" spans="7:11" x14ac:dyDescent="0.2">
      <c r="G586" s="44"/>
      <c r="H586" s="44"/>
      <c r="I586" s="44"/>
      <c r="J586" s="44"/>
      <c r="K586" s="44"/>
    </row>
    <row r="587" spans="7:11" x14ac:dyDescent="0.2">
      <c r="G587" s="46"/>
      <c r="H587" s="44"/>
      <c r="I587" s="44"/>
      <c r="J587" s="44"/>
      <c r="K587" s="44"/>
    </row>
    <row r="588" spans="7:11" x14ac:dyDescent="0.2">
      <c r="G588" s="44"/>
      <c r="H588" s="44"/>
      <c r="I588" s="44"/>
      <c r="J588" s="44"/>
      <c r="K588" s="44"/>
    </row>
    <row r="589" spans="7:11" x14ac:dyDescent="0.2">
      <c r="G589" s="44"/>
      <c r="H589" s="44"/>
      <c r="I589" s="44"/>
      <c r="J589" s="44"/>
      <c r="K589" s="44"/>
    </row>
    <row r="590" spans="7:11" x14ac:dyDescent="0.2">
      <c r="G590" s="44"/>
      <c r="H590" s="44"/>
      <c r="I590" s="44"/>
      <c r="J590" s="44"/>
      <c r="K590" s="44"/>
    </row>
    <row r="591" spans="7:11" x14ac:dyDescent="0.2">
      <c r="G591" s="44"/>
      <c r="H591" s="44"/>
      <c r="I591" s="44"/>
      <c r="J591" s="44"/>
      <c r="K591" s="44"/>
    </row>
    <row r="592" spans="7:11" x14ac:dyDescent="0.2">
      <c r="G592" s="44"/>
      <c r="H592" s="44"/>
      <c r="I592" s="44"/>
      <c r="J592" s="44"/>
      <c r="K592" s="44"/>
    </row>
    <row r="593" spans="7:11" x14ac:dyDescent="0.2">
      <c r="G593" s="44"/>
      <c r="H593" s="44"/>
      <c r="I593" s="44"/>
      <c r="J593" s="44"/>
      <c r="K593" s="44"/>
    </row>
    <row r="594" spans="7:11" x14ac:dyDescent="0.2">
      <c r="G594" s="44"/>
      <c r="H594" s="44"/>
      <c r="I594" s="44"/>
      <c r="J594" s="44"/>
      <c r="K594" s="44"/>
    </row>
    <row r="595" spans="7:11" x14ac:dyDescent="0.2">
      <c r="G595" s="44"/>
      <c r="H595" s="44"/>
      <c r="I595" s="44"/>
      <c r="J595" s="44"/>
      <c r="K595" s="44"/>
    </row>
    <row r="596" spans="7:11" x14ac:dyDescent="0.2">
      <c r="G596" s="44"/>
      <c r="H596" s="44"/>
      <c r="I596" s="44"/>
      <c r="J596" s="44"/>
      <c r="K596" s="44"/>
    </row>
    <row r="597" spans="7:11" x14ac:dyDescent="0.2">
      <c r="G597" s="44"/>
      <c r="H597" s="44"/>
      <c r="I597" s="44"/>
      <c r="J597" s="44"/>
      <c r="K597" s="44"/>
    </row>
    <row r="598" spans="7:11" x14ac:dyDescent="0.2">
      <c r="G598" s="44"/>
      <c r="H598" s="46"/>
      <c r="I598" s="44"/>
      <c r="J598" s="44"/>
      <c r="K598" s="44"/>
    </row>
    <row r="599" spans="7:11" x14ac:dyDescent="0.2">
      <c r="G599" s="44"/>
      <c r="H599" s="44"/>
      <c r="I599" s="44"/>
      <c r="J599" s="44"/>
      <c r="K599" s="44"/>
    </row>
    <row r="600" spans="7:11" x14ac:dyDescent="0.2">
      <c r="G600" s="44"/>
      <c r="H600" s="44"/>
      <c r="I600" s="44"/>
      <c r="J600" s="44"/>
      <c r="K600" s="44"/>
    </row>
    <row r="601" spans="7:11" x14ac:dyDescent="0.2">
      <c r="G601" s="44"/>
      <c r="H601" s="46"/>
      <c r="I601" s="44"/>
      <c r="J601" s="44"/>
      <c r="K601" s="44"/>
    </row>
    <row r="602" spans="7:11" x14ac:dyDescent="0.2">
      <c r="G602" s="44"/>
      <c r="H602" s="44"/>
      <c r="I602" s="44"/>
      <c r="J602" s="44"/>
      <c r="K602" s="44"/>
    </row>
    <row r="603" spans="7:11" x14ac:dyDescent="0.2">
      <c r="G603" s="44"/>
      <c r="H603" s="44"/>
      <c r="I603" s="44"/>
      <c r="J603" s="44"/>
      <c r="K603" s="44"/>
    </row>
    <row r="604" spans="7:11" x14ac:dyDescent="0.2">
      <c r="G604" s="44"/>
      <c r="H604" s="44"/>
      <c r="I604" s="44"/>
      <c r="J604" s="44"/>
      <c r="K604" s="44"/>
    </row>
    <row r="605" spans="7:11" x14ac:dyDescent="0.2">
      <c r="G605" s="44"/>
      <c r="H605" s="44"/>
      <c r="I605" s="44"/>
      <c r="J605" s="44"/>
      <c r="K605" s="44"/>
    </row>
    <row r="606" spans="7:11" x14ac:dyDescent="0.2">
      <c r="G606" s="44"/>
      <c r="H606" s="44"/>
      <c r="I606" s="44"/>
      <c r="J606" s="44"/>
      <c r="K606" s="44"/>
    </row>
    <row r="607" spans="7:11" x14ac:dyDescent="0.2">
      <c r="G607" s="46"/>
      <c r="H607" s="44"/>
      <c r="I607" s="44"/>
      <c r="J607" s="44"/>
      <c r="K607" s="44"/>
    </row>
    <row r="608" spans="7:11" x14ac:dyDescent="0.2">
      <c r="G608" s="44"/>
      <c r="H608" s="46"/>
      <c r="I608" s="44"/>
      <c r="J608" s="46"/>
      <c r="K608" s="44"/>
    </row>
    <row r="609" spans="7:11" x14ac:dyDescent="0.2">
      <c r="G609" s="44"/>
      <c r="H609" s="44"/>
      <c r="I609" s="44"/>
      <c r="J609" s="44"/>
      <c r="K609" s="44"/>
    </row>
    <row r="610" spans="7:11" x14ac:dyDescent="0.2">
      <c r="G610" s="44"/>
      <c r="H610" s="44"/>
      <c r="I610" s="44"/>
      <c r="J610" s="44"/>
      <c r="K610" s="44"/>
    </row>
    <row r="611" spans="7:11" x14ac:dyDescent="0.2">
      <c r="G611" s="44"/>
      <c r="H611" s="44"/>
      <c r="I611" s="44"/>
      <c r="J611" s="44"/>
      <c r="K611" s="44"/>
    </row>
    <row r="612" spans="7:11" x14ac:dyDescent="0.2">
      <c r="G612" s="44"/>
      <c r="H612" s="44"/>
      <c r="I612" s="44"/>
      <c r="J612" s="44"/>
      <c r="K612" s="44"/>
    </row>
    <row r="613" spans="7:11" x14ac:dyDescent="0.2">
      <c r="G613" s="46"/>
      <c r="H613" s="44"/>
      <c r="I613" s="44"/>
      <c r="J613" s="44"/>
      <c r="K613" s="44"/>
    </row>
    <row r="614" spans="7:11" x14ac:dyDescent="0.2">
      <c r="G614" s="46"/>
      <c r="H614" s="44"/>
      <c r="I614" s="44"/>
      <c r="J614" s="44"/>
      <c r="K614" s="44"/>
    </row>
    <row r="615" spans="7:11" x14ac:dyDescent="0.2">
      <c r="G615" s="44"/>
      <c r="H615" s="44"/>
      <c r="I615" s="44"/>
      <c r="J615" s="44"/>
      <c r="K615" s="44"/>
    </row>
    <row r="616" spans="7:11" x14ac:dyDescent="0.2">
      <c r="G616" s="44"/>
      <c r="H616" s="44"/>
      <c r="I616" s="44"/>
      <c r="J616" s="44"/>
      <c r="K616" s="44"/>
    </row>
    <row r="617" spans="7:11" x14ac:dyDescent="0.2">
      <c r="G617" s="44"/>
      <c r="H617" s="44"/>
      <c r="I617" s="44"/>
      <c r="J617" s="44"/>
      <c r="K617" s="44"/>
    </row>
    <row r="618" spans="7:11" x14ac:dyDescent="0.2">
      <c r="G618" s="44"/>
      <c r="H618" s="44"/>
      <c r="I618" s="44"/>
      <c r="J618" s="44"/>
      <c r="K618" s="44"/>
    </row>
    <row r="619" spans="7:11" x14ac:dyDescent="0.2">
      <c r="G619" s="45"/>
      <c r="H619" s="45"/>
      <c r="I619" s="45"/>
      <c r="J619" s="45"/>
      <c r="K619" s="45"/>
    </row>
    <row r="620" spans="7:11" x14ac:dyDescent="0.2">
      <c r="G620" s="39"/>
      <c r="H620" s="44"/>
      <c r="I620" s="44"/>
      <c r="J620" s="44"/>
      <c r="K620" s="44"/>
    </row>
    <row r="621" spans="7:11" x14ac:dyDescent="0.2">
      <c r="G621" s="44"/>
      <c r="H621" s="44"/>
      <c r="I621" s="44"/>
      <c r="J621" s="44"/>
      <c r="K621" s="44"/>
    </row>
    <row r="622" spans="7:11" x14ac:dyDescent="0.2">
      <c r="G622" s="44"/>
      <c r="H622" s="44"/>
      <c r="I622" s="44"/>
      <c r="J622" s="44"/>
      <c r="K622" s="44"/>
    </row>
    <row r="623" spans="7:11" x14ac:dyDescent="0.2">
      <c r="G623" s="46"/>
      <c r="H623" s="46"/>
      <c r="I623" s="44"/>
      <c r="J623" s="44"/>
      <c r="K623" s="44"/>
    </row>
    <row r="624" spans="7:11" x14ac:dyDescent="0.2">
      <c r="G624" s="44"/>
      <c r="H624" s="44"/>
      <c r="I624" s="44"/>
      <c r="J624" s="44"/>
      <c r="K624" s="44"/>
    </row>
    <row r="625" spans="7:11" x14ac:dyDescent="0.2">
      <c r="G625" s="44"/>
      <c r="H625" s="44"/>
      <c r="I625" s="44"/>
      <c r="J625" s="44"/>
      <c r="K625" s="44"/>
    </row>
    <row r="626" spans="7:11" x14ac:dyDescent="0.2">
      <c r="G626" s="44"/>
      <c r="H626" s="44"/>
      <c r="I626" s="44"/>
      <c r="J626" s="44"/>
      <c r="K626" s="44"/>
    </row>
    <row r="627" spans="7:11" x14ac:dyDescent="0.2">
      <c r="G627" s="44"/>
      <c r="H627" s="44"/>
      <c r="I627" s="44"/>
      <c r="J627" s="44"/>
      <c r="K627" s="44"/>
    </row>
    <row r="628" spans="7:11" x14ac:dyDescent="0.2">
      <c r="G628" s="44"/>
      <c r="H628" s="44"/>
      <c r="I628" s="44"/>
      <c r="J628" s="44"/>
      <c r="K628" s="44"/>
    </row>
    <row r="629" spans="7:11" x14ac:dyDescent="0.2">
      <c r="G629" s="44"/>
      <c r="H629" s="44"/>
      <c r="I629" s="44"/>
      <c r="J629" s="44"/>
      <c r="K629" s="44"/>
    </row>
    <row r="630" spans="7:11" x14ac:dyDescent="0.2">
      <c r="G630" s="44"/>
      <c r="H630" s="44"/>
      <c r="I630" s="44"/>
      <c r="J630" s="44"/>
      <c r="K630" s="44"/>
    </row>
    <row r="631" spans="7:11" x14ac:dyDescent="0.2">
      <c r="G631" s="44"/>
      <c r="H631" s="44"/>
      <c r="I631" s="44"/>
      <c r="J631" s="44"/>
      <c r="K631" s="44"/>
    </row>
    <row r="632" spans="7:11" x14ac:dyDescent="0.2">
      <c r="G632" s="44"/>
      <c r="H632" s="44"/>
      <c r="I632" s="44"/>
      <c r="J632" s="44"/>
      <c r="K632" s="44"/>
    </row>
    <row r="633" spans="7:11" x14ac:dyDescent="0.2">
      <c r="G633" s="44"/>
      <c r="H633" s="44"/>
      <c r="I633" s="44"/>
      <c r="J633" s="46"/>
      <c r="K633" s="44"/>
    </row>
    <row r="634" spans="7:11" x14ac:dyDescent="0.2">
      <c r="G634" s="44"/>
      <c r="H634" s="44"/>
      <c r="I634" s="44"/>
      <c r="J634" s="44"/>
      <c r="K634" s="44"/>
    </row>
    <row r="635" spans="7:11" x14ac:dyDescent="0.2">
      <c r="G635" s="44"/>
      <c r="H635" s="44"/>
      <c r="I635" s="44"/>
      <c r="J635" s="44"/>
      <c r="K635" s="44"/>
    </row>
    <row r="636" spans="7:11" x14ac:dyDescent="0.2">
      <c r="G636" s="44"/>
      <c r="H636" s="44"/>
      <c r="I636" s="44"/>
      <c r="J636" s="44"/>
      <c r="K636" s="44"/>
    </row>
    <row r="637" spans="7:11" x14ac:dyDescent="0.2">
      <c r="G637" s="46"/>
      <c r="H637" s="44"/>
      <c r="I637" s="44"/>
      <c r="J637" s="44"/>
      <c r="K637" s="44"/>
    </row>
    <row r="638" spans="7:11" x14ac:dyDescent="0.2">
      <c r="G638" s="44"/>
      <c r="H638" s="44"/>
      <c r="I638" s="44"/>
      <c r="J638" s="44"/>
      <c r="K638" s="44"/>
    </row>
    <row r="639" spans="7:11" x14ac:dyDescent="0.2">
      <c r="G639" s="44"/>
      <c r="H639" s="44"/>
      <c r="I639" s="44"/>
      <c r="J639" s="44"/>
      <c r="K639" s="44"/>
    </row>
    <row r="640" spans="7:11" x14ac:dyDescent="0.2">
      <c r="G640" s="44"/>
      <c r="H640" s="44"/>
      <c r="I640" s="44"/>
      <c r="J640" s="44"/>
      <c r="K640" s="44"/>
    </row>
    <row r="641" spans="7:11" x14ac:dyDescent="0.2">
      <c r="G641" s="44"/>
      <c r="H641" s="44"/>
      <c r="I641" s="44"/>
      <c r="J641" s="44"/>
      <c r="K641" s="44"/>
    </row>
    <row r="642" spans="7:11" x14ac:dyDescent="0.2">
      <c r="G642" s="44"/>
      <c r="H642" s="44"/>
      <c r="I642" s="44"/>
      <c r="J642" s="44"/>
      <c r="K642" s="44"/>
    </row>
    <row r="643" spans="7:11" x14ac:dyDescent="0.2">
      <c r="G643" s="44"/>
      <c r="H643" s="44"/>
      <c r="I643" s="44"/>
      <c r="J643" s="44"/>
      <c r="K643" s="44"/>
    </row>
    <row r="644" spans="7:11" x14ac:dyDescent="0.2">
      <c r="G644" s="44"/>
      <c r="H644" s="44"/>
      <c r="I644" s="44"/>
      <c r="J644" s="44"/>
      <c r="K644" s="44"/>
    </row>
    <row r="645" spans="7:11" x14ac:dyDescent="0.2">
      <c r="G645" s="44"/>
      <c r="H645" s="44"/>
      <c r="I645" s="44"/>
      <c r="J645" s="44"/>
      <c r="K645" s="44"/>
    </row>
    <row r="646" spans="7:11" x14ac:dyDescent="0.2">
      <c r="G646" s="44"/>
      <c r="H646" s="44"/>
      <c r="I646" s="44"/>
      <c r="J646" s="44"/>
      <c r="K646" s="44"/>
    </row>
    <row r="647" spans="7:11" x14ac:dyDescent="0.2">
      <c r="G647" s="44"/>
      <c r="H647" s="44"/>
      <c r="I647" s="44"/>
      <c r="J647" s="44"/>
      <c r="K647" s="44"/>
    </row>
    <row r="648" spans="7:11" x14ac:dyDescent="0.2">
      <c r="G648" s="44"/>
      <c r="H648" s="44"/>
      <c r="I648" s="44"/>
      <c r="J648" s="44"/>
      <c r="K648" s="44"/>
    </row>
    <row r="649" spans="7:11" x14ac:dyDescent="0.2">
      <c r="G649" s="47"/>
      <c r="H649" s="44"/>
      <c r="I649" s="44"/>
      <c r="J649" s="44"/>
      <c r="K649" s="44"/>
    </row>
    <row r="650" spans="7:11" x14ac:dyDescent="0.2">
      <c r="G650" s="44"/>
      <c r="H650" s="44"/>
      <c r="I650" s="44"/>
      <c r="J650" s="44"/>
      <c r="K650" s="44"/>
    </row>
    <row r="651" spans="7:11" x14ac:dyDescent="0.2">
      <c r="G651" s="44"/>
      <c r="H651" s="44"/>
      <c r="I651" s="44"/>
      <c r="J651" s="44"/>
      <c r="K651" s="44"/>
    </row>
    <row r="652" spans="7:11" x14ac:dyDescent="0.2">
      <c r="G652" s="44"/>
      <c r="H652" s="44"/>
      <c r="I652" s="44"/>
      <c r="J652" s="44"/>
      <c r="K652" s="44"/>
    </row>
    <row r="653" spans="7:11" x14ac:dyDescent="0.2">
      <c r="G653" s="44"/>
      <c r="H653" s="44"/>
      <c r="I653" s="44"/>
      <c r="J653" s="44"/>
      <c r="K653" s="44"/>
    </row>
    <row r="654" spans="7:11" x14ac:dyDescent="0.2">
      <c r="G654" s="44"/>
      <c r="H654" s="44"/>
      <c r="I654" s="44"/>
      <c r="J654" s="44"/>
      <c r="K654" s="44"/>
    </row>
    <row r="655" spans="7:11" x14ac:dyDescent="0.2">
      <c r="G655" s="44"/>
      <c r="H655" s="44"/>
      <c r="I655" s="44"/>
      <c r="J655" s="44"/>
      <c r="K655" s="44"/>
    </row>
    <row r="656" spans="7:11" x14ac:dyDescent="0.2">
      <c r="G656" s="44"/>
      <c r="H656" s="44"/>
      <c r="I656" s="44"/>
      <c r="J656" s="44"/>
      <c r="K656" s="44"/>
    </row>
    <row r="657" spans="7:11" x14ac:dyDescent="0.2">
      <c r="G657" s="44"/>
      <c r="H657" s="44"/>
      <c r="I657" s="44"/>
      <c r="J657" s="44"/>
      <c r="K657" s="44"/>
    </row>
    <row r="658" spans="7:11" x14ac:dyDescent="0.2">
      <c r="G658" s="44"/>
      <c r="H658" s="44"/>
      <c r="I658" s="44"/>
      <c r="J658" s="44"/>
      <c r="K658" s="44"/>
    </row>
    <row r="659" spans="7:11" x14ac:dyDescent="0.2">
      <c r="G659" s="44"/>
      <c r="H659" s="44"/>
      <c r="I659" s="44"/>
      <c r="J659" s="44"/>
      <c r="K659" s="44"/>
    </row>
    <row r="660" spans="7:11" x14ac:dyDescent="0.2">
      <c r="G660" s="44"/>
      <c r="H660" s="44"/>
      <c r="I660" s="44"/>
      <c r="J660" s="44"/>
      <c r="K660" s="44"/>
    </row>
    <row r="661" spans="7:11" x14ac:dyDescent="0.2">
      <c r="G661" s="44"/>
      <c r="H661" s="44"/>
      <c r="I661" s="44"/>
      <c r="J661" s="44"/>
      <c r="K661" s="44"/>
    </row>
    <row r="662" spans="7:11" x14ac:dyDescent="0.2">
      <c r="G662" s="44"/>
      <c r="H662" s="44"/>
      <c r="I662" s="44"/>
      <c r="J662" s="44"/>
      <c r="K662" s="44"/>
    </row>
    <row r="663" spans="7:11" x14ac:dyDescent="0.2">
      <c r="G663" s="44"/>
      <c r="H663" s="44"/>
      <c r="I663" s="44"/>
      <c r="J663" s="44"/>
      <c r="K663" s="44"/>
    </row>
    <row r="664" spans="7:11" x14ac:dyDescent="0.2">
      <c r="G664" s="44"/>
      <c r="H664" s="44"/>
      <c r="I664" s="44"/>
      <c r="J664" s="44"/>
      <c r="K664" s="44"/>
    </row>
    <row r="665" spans="7:11" x14ac:dyDescent="0.2">
      <c r="G665" s="44"/>
      <c r="H665" s="44"/>
      <c r="I665" s="44"/>
      <c r="J665" s="44"/>
      <c r="K665" s="44"/>
    </row>
    <row r="666" spans="7:11" x14ac:dyDescent="0.2">
      <c r="G666" s="44"/>
      <c r="H666" s="44"/>
      <c r="I666" s="44"/>
      <c r="J666" s="44"/>
      <c r="K666" s="44"/>
    </row>
    <row r="667" spans="7:11" x14ac:dyDescent="0.2">
      <c r="G667" s="44"/>
      <c r="H667" s="44"/>
      <c r="I667" s="44"/>
      <c r="J667" s="44"/>
      <c r="K667" s="44"/>
    </row>
    <row r="668" spans="7:11" x14ac:dyDescent="0.2">
      <c r="G668" s="44"/>
      <c r="H668" s="44"/>
      <c r="I668" s="44"/>
      <c r="J668" s="44"/>
      <c r="K668" s="44"/>
    </row>
    <row r="669" spans="7:11" x14ac:dyDescent="0.2">
      <c r="G669" s="44"/>
      <c r="H669" s="44"/>
      <c r="I669" s="44"/>
      <c r="J669" s="44"/>
      <c r="K669" s="44"/>
    </row>
    <row r="670" spans="7:11" x14ac:dyDescent="0.2">
      <c r="G670" s="44"/>
      <c r="H670" s="44"/>
      <c r="I670" s="44"/>
      <c r="J670" s="44"/>
      <c r="K670" s="44"/>
    </row>
    <row r="671" spans="7:11" x14ac:dyDescent="0.2">
      <c r="G671" s="44"/>
      <c r="H671" s="44"/>
      <c r="I671" s="44"/>
      <c r="J671" s="44"/>
      <c r="K671" s="44"/>
    </row>
    <row r="672" spans="7:11" x14ac:dyDescent="0.2">
      <c r="G672" s="44"/>
      <c r="H672" s="44"/>
      <c r="I672" s="44"/>
      <c r="J672" s="44"/>
      <c r="K672" s="44"/>
    </row>
    <row r="673" spans="7:11" x14ac:dyDescent="0.2">
      <c r="G673" s="44"/>
      <c r="H673" s="44"/>
      <c r="I673" s="44"/>
      <c r="J673" s="44"/>
      <c r="K673" s="44"/>
    </row>
    <row r="674" spans="7:11" x14ac:dyDescent="0.2">
      <c r="G674" s="44"/>
      <c r="H674" s="44"/>
      <c r="I674" s="44"/>
      <c r="J674" s="44"/>
      <c r="K674" s="44"/>
    </row>
    <row r="675" spans="7:11" x14ac:dyDescent="0.2">
      <c r="G675" s="44"/>
      <c r="H675" s="44"/>
      <c r="I675" s="44"/>
      <c r="J675" s="44"/>
      <c r="K675" s="44"/>
    </row>
    <row r="676" spans="7:11" x14ac:dyDescent="0.2">
      <c r="G676" s="44"/>
      <c r="H676" s="44"/>
      <c r="I676" s="44"/>
      <c r="J676" s="44"/>
      <c r="K676" s="44"/>
    </row>
    <row r="677" spans="7:11" x14ac:dyDescent="0.2">
      <c r="G677" s="44"/>
      <c r="H677" s="44"/>
      <c r="I677" s="44"/>
      <c r="J677" s="44"/>
      <c r="K677" s="44"/>
    </row>
    <row r="678" spans="7:11" x14ac:dyDescent="0.2">
      <c r="G678" s="44"/>
      <c r="H678" s="44"/>
      <c r="I678" s="44"/>
      <c r="J678" s="44"/>
      <c r="K678" s="44"/>
    </row>
    <row r="679" spans="7:11" x14ac:dyDescent="0.2">
      <c r="G679" s="44"/>
      <c r="H679" s="44"/>
      <c r="I679" s="44"/>
      <c r="J679" s="44"/>
      <c r="K679" s="44"/>
    </row>
    <row r="680" spans="7:11" x14ac:dyDescent="0.2">
      <c r="G680" s="44"/>
      <c r="H680" s="44"/>
      <c r="I680" s="44"/>
      <c r="J680" s="44"/>
      <c r="K680" s="44"/>
    </row>
    <row r="681" spans="7:11" x14ac:dyDescent="0.2">
      <c r="G681" s="44"/>
      <c r="H681" s="44"/>
      <c r="I681" s="44"/>
      <c r="J681" s="44"/>
      <c r="K681" s="44"/>
    </row>
    <row r="682" spans="7:11" x14ac:dyDescent="0.2">
      <c r="G682" s="46"/>
      <c r="H682" s="46"/>
      <c r="I682" s="44"/>
      <c r="J682" s="44"/>
      <c r="K682" s="44"/>
    </row>
    <row r="683" spans="7:11" x14ac:dyDescent="0.2">
      <c r="G683" s="44"/>
      <c r="H683" s="44"/>
      <c r="I683" s="44"/>
      <c r="J683" s="44"/>
      <c r="K683" s="44"/>
    </row>
    <row r="684" spans="7:11" x14ac:dyDescent="0.2">
      <c r="G684" s="44"/>
      <c r="H684" s="44"/>
      <c r="I684" s="44"/>
      <c r="J684" s="44"/>
      <c r="K684" s="44"/>
    </row>
    <row r="685" spans="7:11" x14ac:dyDescent="0.2">
      <c r="G685" s="44"/>
      <c r="H685" s="44"/>
      <c r="I685" s="44"/>
      <c r="J685" s="44"/>
      <c r="K685" s="46"/>
    </row>
    <row r="686" spans="7:11" x14ac:dyDescent="0.2">
      <c r="G686" s="44"/>
      <c r="H686" s="44"/>
      <c r="I686" s="44"/>
      <c r="J686" s="44"/>
      <c r="K686" s="44"/>
    </row>
    <row r="687" spans="7:11" x14ac:dyDescent="0.2">
      <c r="G687" s="44"/>
      <c r="H687" s="44"/>
      <c r="I687" s="44"/>
      <c r="J687" s="44"/>
      <c r="K687" s="44"/>
    </row>
    <row r="688" spans="7:11" x14ac:dyDescent="0.2">
      <c r="G688" s="44"/>
      <c r="H688" s="44"/>
      <c r="I688" s="44"/>
      <c r="J688" s="44"/>
      <c r="K688" s="44"/>
    </row>
    <row r="689" spans="7:11" x14ac:dyDescent="0.2">
      <c r="G689" s="44"/>
      <c r="H689" s="44"/>
      <c r="I689" s="44"/>
      <c r="J689" s="44"/>
      <c r="K689" s="44"/>
    </row>
    <row r="690" spans="7:11" x14ac:dyDescent="0.2">
      <c r="G690" s="46"/>
      <c r="H690" s="44"/>
      <c r="I690" s="44"/>
      <c r="J690" s="44"/>
      <c r="K690" s="44"/>
    </row>
    <row r="691" spans="7:11" x14ac:dyDescent="0.2">
      <c r="G691" s="44"/>
      <c r="H691" s="44"/>
      <c r="I691" s="44"/>
      <c r="J691" s="44"/>
      <c r="K691" s="44"/>
    </row>
    <row r="692" spans="7:11" x14ac:dyDescent="0.2">
      <c r="G692" s="44"/>
      <c r="H692" s="44"/>
      <c r="I692" s="44"/>
      <c r="J692" s="44"/>
      <c r="K692" s="44"/>
    </row>
    <row r="693" spans="7:11" x14ac:dyDescent="0.2">
      <c r="G693" s="44"/>
      <c r="H693" s="44"/>
      <c r="I693" s="44"/>
      <c r="J693" s="44"/>
      <c r="K693" s="44"/>
    </row>
    <row r="694" spans="7:11" x14ac:dyDescent="0.2">
      <c r="G694" s="44"/>
      <c r="H694" s="44"/>
      <c r="I694" s="44"/>
      <c r="J694" s="44"/>
      <c r="K694" s="44"/>
    </row>
    <row r="695" spans="7:11" x14ac:dyDescent="0.2">
      <c r="G695" s="44"/>
      <c r="H695" s="44"/>
      <c r="I695" s="44"/>
      <c r="J695" s="44"/>
      <c r="K695" s="44"/>
    </row>
    <row r="696" spans="7:11" x14ac:dyDescent="0.2">
      <c r="G696" s="44"/>
      <c r="H696" s="44"/>
      <c r="I696" s="44"/>
      <c r="J696" s="44"/>
      <c r="K696" s="44"/>
    </row>
    <row r="697" spans="7:11" x14ac:dyDescent="0.2">
      <c r="G697" s="44"/>
      <c r="H697" s="44"/>
      <c r="I697" s="44"/>
      <c r="J697" s="44"/>
      <c r="K697" s="44"/>
    </row>
    <row r="698" spans="7:11" x14ac:dyDescent="0.2">
      <c r="G698" s="44"/>
      <c r="H698" s="44"/>
      <c r="I698" s="44"/>
      <c r="J698" s="44"/>
      <c r="K698" s="44"/>
    </row>
    <row r="699" spans="7:11" x14ac:dyDescent="0.2">
      <c r="G699" s="44"/>
      <c r="H699" s="44"/>
      <c r="I699" s="44"/>
      <c r="J699" s="44"/>
      <c r="K699" s="44"/>
    </row>
    <row r="700" spans="7:11" x14ac:dyDescent="0.2">
      <c r="G700" s="44"/>
      <c r="H700" s="44"/>
      <c r="I700" s="44"/>
      <c r="J700" s="44"/>
      <c r="K700" s="44"/>
    </row>
    <row r="701" spans="7:11" x14ac:dyDescent="0.2">
      <c r="G701" s="44"/>
      <c r="H701" s="46"/>
      <c r="I701" s="44"/>
      <c r="J701" s="44"/>
      <c r="K701" s="44"/>
    </row>
    <row r="702" spans="7:11" x14ac:dyDescent="0.2">
      <c r="G702" s="44"/>
      <c r="H702" s="44"/>
      <c r="I702" s="44"/>
      <c r="J702" s="44"/>
      <c r="K702" s="44"/>
    </row>
    <row r="703" spans="7:11" x14ac:dyDescent="0.2">
      <c r="G703" s="44"/>
      <c r="H703" s="44"/>
      <c r="I703" s="44"/>
      <c r="J703" s="44"/>
      <c r="K703" s="44"/>
    </row>
    <row r="704" spans="7:11" x14ac:dyDescent="0.2">
      <c r="G704" s="44"/>
      <c r="H704" s="46"/>
      <c r="I704" s="44"/>
      <c r="J704" s="44"/>
      <c r="K704" s="44"/>
    </row>
    <row r="705" spans="7:11" x14ac:dyDescent="0.2">
      <c r="G705" s="44"/>
      <c r="H705" s="44"/>
      <c r="I705" s="44"/>
      <c r="J705" s="44"/>
      <c r="K705" s="44"/>
    </row>
    <row r="706" spans="7:11" x14ac:dyDescent="0.2">
      <c r="G706" s="44"/>
      <c r="H706" s="44"/>
      <c r="I706" s="44"/>
      <c r="J706" s="44"/>
      <c r="K706" s="44"/>
    </row>
    <row r="707" spans="7:11" x14ac:dyDescent="0.2">
      <c r="G707" s="44"/>
      <c r="H707" s="44"/>
      <c r="I707" s="44"/>
      <c r="J707" s="44"/>
      <c r="K707" s="44"/>
    </row>
    <row r="708" spans="7:11" x14ac:dyDescent="0.2">
      <c r="G708" s="44"/>
      <c r="H708" s="44"/>
      <c r="I708" s="44"/>
      <c r="J708" s="44"/>
      <c r="K708" s="44"/>
    </row>
    <row r="709" spans="7:11" x14ac:dyDescent="0.2">
      <c r="G709" s="44"/>
      <c r="H709" s="44"/>
      <c r="I709" s="44"/>
      <c r="J709" s="44"/>
      <c r="K709" s="44"/>
    </row>
    <row r="710" spans="7:11" x14ac:dyDescent="0.2">
      <c r="G710" s="46"/>
      <c r="H710" s="44"/>
      <c r="I710" s="44"/>
      <c r="J710" s="44"/>
      <c r="K710" s="44"/>
    </row>
    <row r="711" spans="7:11" x14ac:dyDescent="0.2">
      <c r="G711" s="44"/>
      <c r="H711" s="46"/>
      <c r="I711" s="44"/>
      <c r="J711" s="46"/>
      <c r="K711" s="44"/>
    </row>
    <row r="712" spans="7:11" x14ac:dyDescent="0.2">
      <c r="G712" s="44"/>
      <c r="H712" s="44"/>
      <c r="I712" s="44"/>
      <c r="J712" s="44"/>
      <c r="K712" s="44"/>
    </row>
    <row r="713" spans="7:11" x14ac:dyDescent="0.2">
      <c r="G713" s="44"/>
      <c r="H713" s="44"/>
      <c r="I713" s="44"/>
      <c r="J713" s="44"/>
      <c r="K713" s="44"/>
    </row>
    <row r="714" spans="7:11" x14ac:dyDescent="0.2">
      <c r="G714" s="44"/>
      <c r="H714" s="44"/>
      <c r="I714" s="44"/>
      <c r="J714" s="44"/>
      <c r="K714" s="44"/>
    </row>
    <row r="715" spans="7:11" x14ac:dyDescent="0.2">
      <c r="G715" s="44"/>
      <c r="H715" s="44"/>
      <c r="I715" s="44"/>
      <c r="J715" s="44"/>
      <c r="K715" s="44"/>
    </row>
    <row r="716" spans="7:11" x14ac:dyDescent="0.2">
      <c r="G716" s="46"/>
      <c r="H716" s="44"/>
      <c r="I716" s="44"/>
      <c r="J716" s="44"/>
      <c r="K716" s="44"/>
    </row>
    <row r="717" spans="7:11" x14ac:dyDescent="0.2">
      <c r="G717" s="46"/>
      <c r="H717" s="44"/>
      <c r="I717" s="44"/>
      <c r="J717" s="44"/>
      <c r="K717" s="44"/>
    </row>
    <row r="718" spans="7:11" x14ac:dyDescent="0.2">
      <c r="G718" s="44"/>
      <c r="H718" s="44"/>
      <c r="I718" s="44"/>
      <c r="J718" s="44"/>
      <c r="K718" s="44"/>
    </row>
    <row r="719" spans="7:11" x14ac:dyDescent="0.2">
      <c r="G719" s="44"/>
      <c r="H719" s="44"/>
      <c r="I719" s="44"/>
      <c r="J719" s="44"/>
      <c r="K719" s="44"/>
    </row>
    <row r="720" spans="7:11" x14ac:dyDescent="0.2">
      <c r="G720" s="44"/>
      <c r="H720" s="44"/>
      <c r="I720" s="44"/>
      <c r="J720" s="44"/>
      <c r="K720" s="44"/>
    </row>
    <row r="721" spans="7:11" x14ac:dyDescent="0.2">
      <c r="G721" s="44"/>
      <c r="H721" s="44"/>
      <c r="I721" s="44"/>
      <c r="J721" s="44"/>
      <c r="K721" s="44"/>
    </row>
    <row r="722" spans="7:11" x14ac:dyDescent="0.2">
      <c r="G722" s="45"/>
      <c r="H722" s="45"/>
      <c r="I722" s="45"/>
      <c r="J722" s="45"/>
      <c r="K722" s="45"/>
    </row>
    <row r="723" spans="7:11" x14ac:dyDescent="0.2">
      <c r="G723" s="39"/>
      <c r="H723" s="44"/>
      <c r="I723" s="44"/>
      <c r="J723" s="44"/>
      <c r="K723" s="44"/>
    </row>
    <row r="724" spans="7:11" x14ac:dyDescent="0.2">
      <c r="G724" s="44"/>
      <c r="H724" s="44"/>
      <c r="I724" s="44"/>
      <c r="J724" s="44"/>
      <c r="K724" s="44"/>
    </row>
    <row r="725" spans="7:11" x14ac:dyDescent="0.2">
      <c r="G725" s="44"/>
      <c r="H725" s="44"/>
      <c r="I725" s="44"/>
      <c r="J725" s="44"/>
      <c r="K725" s="44"/>
    </row>
    <row r="726" spans="7:11" x14ac:dyDescent="0.2">
      <c r="G726" s="46"/>
      <c r="H726" s="46"/>
      <c r="I726" s="44"/>
      <c r="J726" s="44"/>
      <c r="K726" s="44"/>
    </row>
    <row r="727" spans="7:11" x14ac:dyDescent="0.2">
      <c r="G727" s="44"/>
      <c r="H727" s="44"/>
      <c r="I727" s="44"/>
      <c r="J727" s="44"/>
      <c r="K727" s="44"/>
    </row>
    <row r="728" spans="7:11" x14ac:dyDescent="0.2">
      <c r="G728" s="44"/>
      <c r="H728" s="44"/>
      <c r="I728" s="44"/>
      <c r="J728" s="44"/>
      <c r="K728" s="44"/>
    </row>
    <row r="729" spans="7:11" x14ac:dyDescent="0.2">
      <c r="G729" s="44"/>
      <c r="H729" s="44"/>
      <c r="I729" s="44"/>
      <c r="J729" s="44"/>
      <c r="K729" s="44"/>
    </row>
    <row r="730" spans="7:11" x14ac:dyDescent="0.2">
      <c r="G730" s="44"/>
      <c r="H730" s="44"/>
      <c r="I730" s="44"/>
      <c r="J730" s="44"/>
      <c r="K730" s="44"/>
    </row>
    <row r="731" spans="7:11" x14ac:dyDescent="0.2">
      <c r="G731" s="44"/>
      <c r="H731" s="44"/>
      <c r="I731" s="44"/>
      <c r="J731" s="44"/>
      <c r="K731" s="44"/>
    </row>
    <row r="732" spans="7:11" x14ac:dyDescent="0.2">
      <c r="G732" s="44"/>
      <c r="H732" s="44"/>
      <c r="I732" s="44"/>
      <c r="J732" s="44"/>
      <c r="K732" s="44"/>
    </row>
    <row r="733" spans="7:11" x14ac:dyDescent="0.2">
      <c r="G733" s="44"/>
      <c r="H733" s="44"/>
      <c r="I733" s="44"/>
      <c r="J733" s="44"/>
      <c r="K733" s="44"/>
    </row>
    <row r="734" spans="7:11" x14ac:dyDescent="0.2">
      <c r="G734" s="44"/>
      <c r="H734" s="44"/>
      <c r="I734" s="44"/>
      <c r="J734" s="44"/>
      <c r="K734" s="44"/>
    </row>
    <row r="735" spans="7:11" x14ac:dyDescent="0.2">
      <c r="G735" s="44"/>
      <c r="H735" s="44"/>
      <c r="I735" s="44"/>
      <c r="J735" s="44"/>
      <c r="K735" s="44"/>
    </row>
    <row r="736" spans="7:11" x14ac:dyDescent="0.2">
      <c r="G736" s="44"/>
      <c r="H736" s="44"/>
      <c r="I736" s="44"/>
      <c r="J736" s="46"/>
      <c r="K736" s="44"/>
    </row>
    <row r="737" spans="7:11" x14ac:dyDescent="0.2">
      <c r="G737" s="44"/>
      <c r="H737" s="44"/>
      <c r="I737" s="44"/>
      <c r="J737" s="44"/>
      <c r="K737" s="44"/>
    </row>
    <row r="738" spans="7:11" x14ac:dyDescent="0.2">
      <c r="G738" s="44"/>
      <c r="H738" s="44"/>
      <c r="I738" s="44"/>
      <c r="J738" s="44"/>
      <c r="K738" s="44"/>
    </row>
    <row r="739" spans="7:11" x14ac:dyDescent="0.2">
      <c r="G739" s="44"/>
      <c r="H739" s="44"/>
      <c r="I739" s="44"/>
      <c r="J739" s="44"/>
      <c r="K739" s="44"/>
    </row>
    <row r="740" spans="7:11" x14ac:dyDescent="0.2">
      <c r="G740" s="46"/>
      <c r="H740" s="44"/>
      <c r="I740" s="44"/>
      <c r="J740" s="44"/>
      <c r="K740" s="44"/>
    </row>
    <row r="741" spans="7:11" x14ac:dyDescent="0.2">
      <c r="G741" s="44"/>
      <c r="H741" s="44"/>
      <c r="I741" s="44"/>
      <c r="J741" s="44"/>
      <c r="K741" s="44"/>
    </row>
    <row r="742" spans="7:11" x14ac:dyDescent="0.2">
      <c r="G742" s="44"/>
      <c r="H742" s="44"/>
      <c r="I742" s="44"/>
      <c r="J742" s="44"/>
      <c r="K742" s="44"/>
    </row>
    <row r="743" spans="7:11" x14ac:dyDescent="0.2">
      <c r="G743" s="44"/>
      <c r="H743" s="44"/>
      <c r="I743" s="44"/>
      <c r="J743" s="44"/>
      <c r="K743" s="44"/>
    </row>
    <row r="744" spans="7:11" x14ac:dyDescent="0.2">
      <c r="G744" s="44"/>
      <c r="H744" s="44"/>
      <c r="I744" s="44"/>
      <c r="J744" s="44"/>
      <c r="K744" s="44"/>
    </row>
    <row r="745" spans="7:11" x14ac:dyDescent="0.2">
      <c r="G745" s="44"/>
      <c r="H745" s="44"/>
      <c r="I745" s="44"/>
      <c r="J745" s="44"/>
      <c r="K745" s="44"/>
    </row>
    <row r="746" spans="7:11" x14ac:dyDescent="0.2">
      <c r="G746" s="44"/>
      <c r="H746" s="44"/>
      <c r="I746" s="44"/>
      <c r="J746" s="44"/>
      <c r="K746" s="44"/>
    </row>
    <row r="747" spans="7:11" x14ac:dyDescent="0.2">
      <c r="G747" s="44"/>
      <c r="H747" s="44"/>
      <c r="I747" s="44"/>
      <c r="J747" s="44"/>
      <c r="K747" s="44"/>
    </row>
    <row r="748" spans="7:11" x14ac:dyDescent="0.2">
      <c r="G748" s="44"/>
      <c r="H748" s="44"/>
      <c r="I748" s="44"/>
      <c r="J748" s="44"/>
      <c r="K748" s="44"/>
    </row>
    <row r="749" spans="7:11" x14ac:dyDescent="0.2">
      <c r="G749" s="44"/>
      <c r="H749" s="44"/>
      <c r="I749" s="44"/>
      <c r="J749" s="44"/>
      <c r="K749" s="44"/>
    </row>
    <row r="750" spans="7:11" x14ac:dyDescent="0.2">
      <c r="G750" s="44"/>
      <c r="H750" s="44"/>
      <c r="I750" s="44"/>
      <c r="J750" s="44"/>
      <c r="K750" s="44"/>
    </row>
    <row r="751" spans="7:11" x14ac:dyDescent="0.2">
      <c r="G751" s="44"/>
      <c r="H751" s="44"/>
      <c r="I751" s="44"/>
      <c r="J751" s="44"/>
      <c r="K751" s="44"/>
    </row>
    <row r="752" spans="7:11" x14ac:dyDescent="0.2">
      <c r="G752" s="47"/>
      <c r="H752" s="44"/>
      <c r="I752" s="44"/>
      <c r="J752" s="44"/>
      <c r="K752" s="44"/>
    </row>
    <row r="753" spans="7:11" x14ac:dyDescent="0.2">
      <c r="G753" s="44"/>
      <c r="H753" s="44"/>
      <c r="I753" s="44"/>
      <c r="J753" s="44"/>
      <c r="K753" s="44"/>
    </row>
    <row r="754" spans="7:11" x14ac:dyDescent="0.2">
      <c r="G754" s="44"/>
      <c r="H754" s="44"/>
      <c r="I754" s="44"/>
      <c r="J754" s="44"/>
      <c r="K754" s="44"/>
    </row>
    <row r="755" spans="7:11" x14ac:dyDescent="0.2">
      <c r="G755" s="44"/>
      <c r="H755" s="44"/>
      <c r="I755" s="44"/>
      <c r="J755" s="44"/>
      <c r="K755" s="44"/>
    </row>
    <row r="756" spans="7:11" x14ac:dyDescent="0.2">
      <c r="G756" s="44"/>
      <c r="H756" s="44"/>
      <c r="I756" s="44"/>
      <c r="J756" s="44"/>
      <c r="K756" s="44"/>
    </row>
    <row r="757" spans="7:11" x14ac:dyDescent="0.2">
      <c r="G757" s="44"/>
      <c r="H757" s="44"/>
      <c r="I757" s="44"/>
      <c r="J757" s="44"/>
      <c r="K757" s="44"/>
    </row>
    <row r="758" spans="7:11" x14ac:dyDescent="0.2">
      <c r="G758" s="44"/>
      <c r="H758" s="44"/>
      <c r="I758" s="44"/>
      <c r="J758" s="44"/>
      <c r="K758" s="44"/>
    </row>
    <row r="759" spans="7:11" x14ac:dyDescent="0.2">
      <c r="G759" s="44"/>
      <c r="H759" s="44"/>
      <c r="I759" s="44"/>
      <c r="J759" s="44"/>
      <c r="K759" s="44"/>
    </row>
    <row r="760" spans="7:11" x14ac:dyDescent="0.2">
      <c r="G760" s="44"/>
      <c r="H760" s="44"/>
      <c r="I760" s="44"/>
      <c r="J760" s="44"/>
      <c r="K760" s="44"/>
    </row>
    <row r="761" spans="7:11" x14ac:dyDescent="0.2">
      <c r="G761" s="44"/>
      <c r="H761" s="44"/>
      <c r="I761" s="44"/>
      <c r="J761" s="44"/>
      <c r="K761" s="44"/>
    </row>
    <row r="762" spans="7:11" x14ac:dyDescent="0.2">
      <c r="G762" s="44"/>
      <c r="H762" s="44"/>
      <c r="I762" s="44"/>
      <c r="J762" s="44"/>
      <c r="K762" s="44"/>
    </row>
    <row r="763" spans="7:11" x14ac:dyDescent="0.2">
      <c r="G763" s="44"/>
      <c r="H763" s="44"/>
      <c r="I763" s="44"/>
      <c r="J763" s="44"/>
      <c r="K763" s="44"/>
    </row>
    <row r="764" spans="7:11" x14ac:dyDescent="0.2">
      <c r="G764" s="44"/>
      <c r="H764" s="44"/>
      <c r="I764" s="44"/>
      <c r="J764" s="44"/>
      <c r="K764" s="44"/>
    </row>
    <row r="765" spans="7:11" x14ac:dyDescent="0.2">
      <c r="G765" s="44"/>
      <c r="H765" s="44"/>
      <c r="I765" s="44"/>
      <c r="J765" s="44"/>
      <c r="K765" s="44"/>
    </row>
    <row r="766" spans="7:11" x14ac:dyDescent="0.2">
      <c r="G766" s="44"/>
      <c r="H766" s="44"/>
      <c r="I766" s="44"/>
      <c r="J766" s="44"/>
      <c r="K766" s="44"/>
    </row>
    <row r="767" spans="7:11" x14ac:dyDescent="0.2">
      <c r="G767" s="44"/>
      <c r="H767" s="44"/>
      <c r="I767" s="44"/>
      <c r="J767" s="44"/>
      <c r="K767" s="44"/>
    </row>
    <row r="768" spans="7:11" x14ac:dyDescent="0.2">
      <c r="G768" s="44"/>
      <c r="H768" s="44"/>
      <c r="I768" s="44"/>
      <c r="J768" s="44"/>
      <c r="K768" s="44"/>
    </row>
    <row r="769" spans="7:11" x14ac:dyDescent="0.2">
      <c r="G769" s="44"/>
      <c r="H769" s="44"/>
      <c r="I769" s="44"/>
      <c r="J769" s="44"/>
      <c r="K769" s="44"/>
    </row>
    <row r="770" spans="7:11" x14ac:dyDescent="0.2">
      <c r="G770" s="44"/>
      <c r="H770" s="44"/>
      <c r="I770" s="44"/>
      <c r="J770" s="44"/>
      <c r="K770" s="44"/>
    </row>
    <row r="771" spans="7:11" x14ac:dyDescent="0.2">
      <c r="G771" s="44"/>
      <c r="H771" s="44"/>
      <c r="I771" s="44"/>
      <c r="J771" s="44"/>
      <c r="K771" s="44"/>
    </row>
    <row r="772" spans="7:11" x14ac:dyDescent="0.2">
      <c r="G772" s="44"/>
      <c r="H772" s="44"/>
      <c r="I772" s="44"/>
      <c r="J772" s="44"/>
      <c r="K772" s="44"/>
    </row>
    <row r="773" spans="7:11" x14ac:dyDescent="0.2">
      <c r="G773" s="44"/>
      <c r="H773" s="44"/>
      <c r="I773" s="44"/>
      <c r="J773" s="44"/>
      <c r="K773" s="44"/>
    </row>
    <row r="774" spans="7:11" x14ac:dyDescent="0.2">
      <c r="G774" s="44"/>
      <c r="H774" s="44"/>
      <c r="I774" s="44"/>
      <c r="J774" s="44"/>
      <c r="K774" s="44"/>
    </row>
    <row r="775" spans="7:11" x14ac:dyDescent="0.2">
      <c r="G775" s="44"/>
      <c r="H775" s="44"/>
      <c r="I775" s="44"/>
      <c r="J775" s="44"/>
      <c r="K775" s="44"/>
    </row>
    <row r="776" spans="7:11" x14ac:dyDescent="0.2">
      <c r="G776" s="44"/>
      <c r="H776" s="44"/>
      <c r="I776" s="44"/>
      <c r="J776" s="44"/>
      <c r="K776" s="44"/>
    </row>
    <row r="777" spans="7:11" x14ac:dyDescent="0.2">
      <c r="G777" s="44"/>
      <c r="H777" s="44"/>
      <c r="I777" s="44"/>
      <c r="J777" s="44"/>
      <c r="K777" s="44"/>
    </row>
    <row r="778" spans="7:11" x14ac:dyDescent="0.2">
      <c r="G778" s="44"/>
      <c r="H778" s="44"/>
      <c r="I778" s="44"/>
      <c r="J778" s="44"/>
      <c r="K778" s="44"/>
    </row>
    <row r="779" spans="7:11" x14ac:dyDescent="0.2">
      <c r="G779" s="44"/>
      <c r="H779" s="44"/>
      <c r="I779" s="44"/>
      <c r="J779" s="44"/>
      <c r="K779" s="44"/>
    </row>
    <row r="780" spans="7:11" x14ac:dyDescent="0.2">
      <c r="G780" s="44"/>
      <c r="H780" s="44"/>
      <c r="I780" s="44"/>
      <c r="J780" s="44"/>
      <c r="K780" s="44"/>
    </row>
    <row r="781" spans="7:11" x14ac:dyDescent="0.2">
      <c r="G781" s="44"/>
      <c r="H781" s="44"/>
      <c r="I781" s="44"/>
      <c r="J781" s="44"/>
      <c r="K781" s="44"/>
    </row>
    <row r="782" spans="7:11" x14ac:dyDescent="0.2">
      <c r="G782" s="44"/>
      <c r="H782" s="44"/>
      <c r="I782" s="44"/>
      <c r="J782" s="44"/>
      <c r="K782" s="44"/>
    </row>
    <row r="783" spans="7:11" x14ac:dyDescent="0.2">
      <c r="G783" s="44"/>
      <c r="H783" s="44"/>
      <c r="I783" s="44"/>
      <c r="J783" s="44"/>
      <c r="K783" s="44"/>
    </row>
    <row r="784" spans="7:11" x14ac:dyDescent="0.2">
      <c r="G784" s="44"/>
      <c r="H784" s="44"/>
      <c r="I784" s="44"/>
      <c r="J784" s="44"/>
      <c r="K784" s="44"/>
    </row>
    <row r="785" spans="7:11" x14ac:dyDescent="0.2">
      <c r="G785" s="46"/>
      <c r="H785" s="46"/>
      <c r="I785" s="44"/>
      <c r="J785" s="44"/>
      <c r="K785" s="44"/>
    </row>
    <row r="786" spans="7:11" x14ac:dyDescent="0.2">
      <c r="G786" s="44"/>
      <c r="H786" s="44"/>
      <c r="I786" s="44"/>
      <c r="J786" s="44"/>
      <c r="K786" s="44"/>
    </row>
    <row r="787" spans="7:11" x14ac:dyDescent="0.2">
      <c r="G787" s="44"/>
      <c r="H787" s="44"/>
      <c r="I787" s="44"/>
      <c r="J787" s="44"/>
      <c r="K787" s="44"/>
    </row>
    <row r="788" spans="7:11" x14ac:dyDescent="0.2">
      <c r="G788" s="44"/>
      <c r="H788" s="44"/>
      <c r="I788" s="44"/>
      <c r="J788" s="44"/>
      <c r="K788" s="46"/>
    </row>
    <row r="789" spans="7:11" x14ac:dyDescent="0.2">
      <c r="G789" s="44"/>
      <c r="H789" s="44"/>
      <c r="I789" s="44"/>
      <c r="J789" s="44"/>
      <c r="K789" s="44"/>
    </row>
    <row r="790" spans="7:11" x14ac:dyDescent="0.2">
      <c r="G790" s="44"/>
      <c r="H790" s="44"/>
      <c r="I790" s="44"/>
      <c r="J790" s="44"/>
      <c r="K790" s="44"/>
    </row>
    <row r="791" spans="7:11" x14ac:dyDescent="0.2">
      <c r="G791" s="44"/>
      <c r="H791" s="44"/>
      <c r="I791" s="44"/>
      <c r="J791" s="44"/>
      <c r="K791" s="44"/>
    </row>
    <row r="792" spans="7:11" x14ac:dyDescent="0.2">
      <c r="G792" s="44"/>
      <c r="H792" s="44"/>
      <c r="I792" s="44"/>
      <c r="J792" s="44"/>
      <c r="K792" s="44"/>
    </row>
    <row r="793" spans="7:11" x14ac:dyDescent="0.2">
      <c r="G793" s="46"/>
      <c r="H793" s="44"/>
      <c r="I793" s="44"/>
      <c r="J793" s="44"/>
      <c r="K793" s="44"/>
    </row>
    <row r="794" spans="7:11" x14ac:dyDescent="0.2">
      <c r="G794" s="44"/>
      <c r="H794" s="44"/>
      <c r="I794" s="44"/>
      <c r="J794" s="44"/>
      <c r="K794" s="44"/>
    </row>
    <row r="795" spans="7:11" x14ac:dyDescent="0.2">
      <c r="G795" s="44"/>
      <c r="H795" s="44"/>
      <c r="I795" s="44"/>
      <c r="J795" s="44"/>
      <c r="K795" s="44"/>
    </row>
    <row r="796" spans="7:11" x14ac:dyDescent="0.2">
      <c r="G796" s="44"/>
      <c r="H796" s="44"/>
      <c r="I796" s="44"/>
      <c r="J796" s="44"/>
      <c r="K796" s="44"/>
    </row>
    <row r="797" spans="7:11" x14ac:dyDescent="0.2">
      <c r="G797" s="44"/>
      <c r="H797" s="44"/>
      <c r="I797" s="44"/>
      <c r="J797" s="44"/>
      <c r="K797" s="44"/>
    </row>
    <row r="798" spans="7:11" x14ac:dyDescent="0.2">
      <c r="G798" s="44"/>
      <c r="H798" s="44"/>
      <c r="I798" s="44"/>
      <c r="J798" s="44"/>
      <c r="K798" s="44"/>
    </row>
    <row r="799" spans="7:11" x14ac:dyDescent="0.2">
      <c r="G799" s="44"/>
      <c r="H799" s="44"/>
      <c r="I799" s="44"/>
      <c r="J799" s="44"/>
      <c r="K799" s="44"/>
    </row>
    <row r="800" spans="7:11" x14ac:dyDescent="0.2">
      <c r="G800" s="44"/>
      <c r="H800" s="44"/>
      <c r="I800" s="44"/>
      <c r="J800" s="44"/>
      <c r="K800" s="44"/>
    </row>
    <row r="801" spans="7:11" x14ac:dyDescent="0.2">
      <c r="G801" s="44"/>
      <c r="H801" s="44"/>
      <c r="I801" s="44"/>
      <c r="J801" s="44"/>
      <c r="K801" s="44"/>
    </row>
    <row r="802" spans="7:11" x14ac:dyDescent="0.2">
      <c r="G802" s="44"/>
      <c r="H802" s="44"/>
      <c r="I802" s="44"/>
      <c r="J802" s="44"/>
      <c r="K802" s="44"/>
    </row>
    <row r="803" spans="7:11" x14ac:dyDescent="0.2">
      <c r="G803" s="44"/>
      <c r="H803" s="44"/>
      <c r="I803" s="44"/>
      <c r="J803" s="44"/>
      <c r="K803" s="44"/>
    </row>
    <row r="804" spans="7:11" x14ac:dyDescent="0.2">
      <c r="G804" s="44"/>
      <c r="H804" s="46"/>
      <c r="I804" s="44"/>
      <c r="J804" s="44"/>
      <c r="K804" s="44"/>
    </row>
    <row r="805" spans="7:11" x14ac:dyDescent="0.2">
      <c r="G805" s="44"/>
      <c r="H805" s="44"/>
      <c r="I805" s="44"/>
      <c r="J805" s="44"/>
      <c r="K805" s="44"/>
    </row>
    <row r="806" spans="7:11" x14ac:dyDescent="0.2">
      <c r="G806" s="44"/>
      <c r="H806" s="44"/>
      <c r="I806" s="44"/>
      <c r="J806" s="44"/>
      <c r="K806" s="44"/>
    </row>
    <row r="807" spans="7:11" x14ac:dyDescent="0.2">
      <c r="G807" s="44"/>
      <c r="H807" s="46"/>
      <c r="I807" s="44"/>
      <c r="J807" s="44"/>
      <c r="K807" s="44"/>
    </row>
    <row r="808" spans="7:11" x14ac:dyDescent="0.2">
      <c r="G808" s="44"/>
      <c r="H808" s="44"/>
      <c r="I808" s="44"/>
      <c r="J808" s="44"/>
      <c r="K808" s="44"/>
    </row>
    <row r="809" spans="7:11" x14ac:dyDescent="0.2">
      <c r="G809" s="44"/>
      <c r="H809" s="44"/>
      <c r="I809" s="44"/>
      <c r="J809" s="44"/>
      <c r="K809" s="44"/>
    </row>
    <row r="810" spans="7:11" x14ac:dyDescent="0.2">
      <c r="G810" s="44"/>
      <c r="H810" s="44"/>
      <c r="I810" s="44"/>
      <c r="J810" s="44"/>
      <c r="K810" s="44"/>
    </row>
    <row r="811" spans="7:11" x14ac:dyDescent="0.2">
      <c r="G811" s="44"/>
      <c r="H811" s="44"/>
      <c r="I811" s="44"/>
      <c r="J811" s="44"/>
      <c r="K811" s="44"/>
    </row>
    <row r="812" spans="7:11" x14ac:dyDescent="0.2">
      <c r="G812" s="44"/>
      <c r="H812" s="44"/>
      <c r="I812" s="44"/>
      <c r="J812" s="44"/>
      <c r="K812" s="44"/>
    </row>
    <row r="813" spans="7:11" x14ac:dyDescent="0.2">
      <c r="G813" s="46"/>
      <c r="H813" s="44"/>
      <c r="I813" s="44"/>
      <c r="J813" s="44"/>
      <c r="K813" s="44"/>
    </row>
    <row r="814" spans="7:11" x14ac:dyDescent="0.2">
      <c r="G814" s="44"/>
      <c r="H814" s="46"/>
      <c r="I814" s="44"/>
      <c r="J814" s="46"/>
      <c r="K814" s="44"/>
    </row>
    <row r="815" spans="7:11" x14ac:dyDescent="0.2">
      <c r="G815" s="44"/>
      <c r="H815" s="44"/>
      <c r="I815" s="44"/>
      <c r="J815" s="44"/>
      <c r="K815" s="44"/>
    </row>
    <row r="816" spans="7:11" x14ac:dyDescent="0.2">
      <c r="G816" s="44"/>
      <c r="H816" s="44"/>
      <c r="I816" s="44"/>
      <c r="J816" s="44"/>
      <c r="K816" s="44"/>
    </row>
    <row r="817" spans="7:11" x14ac:dyDescent="0.2">
      <c r="G817" s="44"/>
      <c r="H817" s="44"/>
      <c r="I817" s="44"/>
      <c r="J817" s="44"/>
      <c r="K817" s="44"/>
    </row>
    <row r="818" spans="7:11" x14ac:dyDescent="0.2">
      <c r="G818" s="44"/>
      <c r="H818" s="44"/>
      <c r="I818" s="44"/>
      <c r="J818" s="44"/>
      <c r="K818" s="44"/>
    </row>
    <row r="819" spans="7:11" x14ac:dyDescent="0.2">
      <c r="G819" s="46"/>
      <c r="H819" s="44"/>
      <c r="I819" s="44"/>
      <c r="J819" s="44"/>
      <c r="K819" s="44"/>
    </row>
    <row r="820" spans="7:11" x14ac:dyDescent="0.2">
      <c r="G820" s="46"/>
      <c r="H820" s="44"/>
      <c r="I820" s="44"/>
      <c r="J820" s="44"/>
      <c r="K820" s="44"/>
    </row>
    <row r="821" spans="7:11" x14ac:dyDescent="0.2">
      <c r="G821" s="44"/>
      <c r="H821" s="44"/>
      <c r="I821" s="44"/>
      <c r="J821" s="44"/>
      <c r="K821" s="44"/>
    </row>
    <row r="822" spans="7:11" x14ac:dyDescent="0.2">
      <c r="G822" s="44"/>
      <c r="H822" s="44"/>
      <c r="I822" s="44"/>
      <c r="J822" s="44"/>
      <c r="K822" s="44"/>
    </row>
    <row r="823" spans="7:11" x14ac:dyDescent="0.2">
      <c r="G823" s="44"/>
      <c r="H823" s="44"/>
      <c r="I823" s="44"/>
      <c r="J823" s="44"/>
      <c r="K823" s="44"/>
    </row>
    <row r="824" spans="7:11" x14ac:dyDescent="0.2">
      <c r="G824" s="44"/>
      <c r="H824" s="44"/>
      <c r="I824" s="44"/>
      <c r="J824" s="44"/>
      <c r="K824" s="44"/>
    </row>
    <row r="825" spans="7:11" x14ac:dyDescent="0.2">
      <c r="G825" s="45"/>
      <c r="H825" s="45"/>
      <c r="I825" s="45"/>
      <c r="J825" s="45"/>
      <c r="K825" s="45"/>
    </row>
    <row r="826" spans="7:11" x14ac:dyDescent="0.2">
      <c r="G826" s="39"/>
      <c r="H826" s="44"/>
      <c r="I826" s="44"/>
      <c r="J826" s="44"/>
      <c r="K826" s="44"/>
    </row>
    <row r="827" spans="7:11" x14ac:dyDescent="0.2">
      <c r="G827" s="44"/>
      <c r="H827" s="44"/>
      <c r="I827" s="44"/>
      <c r="J827" s="44"/>
      <c r="K827" s="44"/>
    </row>
    <row r="828" spans="7:11" x14ac:dyDescent="0.2">
      <c r="G828" s="44"/>
      <c r="H828" s="44"/>
      <c r="I828" s="44"/>
      <c r="J828" s="44"/>
      <c r="K828" s="44"/>
    </row>
    <row r="829" spans="7:11" x14ac:dyDescent="0.2">
      <c r="G829" s="46"/>
      <c r="H829" s="46"/>
      <c r="I829" s="44"/>
      <c r="J829" s="44"/>
      <c r="K829" s="44"/>
    </row>
    <row r="830" spans="7:11" x14ac:dyDescent="0.2">
      <c r="G830" s="44"/>
      <c r="H830" s="44"/>
      <c r="I830" s="44"/>
      <c r="J830" s="44"/>
      <c r="K830" s="44"/>
    </row>
    <row r="831" spans="7:11" x14ac:dyDescent="0.2">
      <c r="G831" s="44"/>
      <c r="H831" s="44"/>
      <c r="I831" s="44"/>
      <c r="J831" s="44"/>
      <c r="K831" s="44"/>
    </row>
    <row r="832" spans="7:11" x14ac:dyDescent="0.2">
      <c r="G832" s="44"/>
      <c r="H832" s="44"/>
      <c r="I832" s="44"/>
      <c r="J832" s="44"/>
      <c r="K832" s="44"/>
    </row>
    <row r="833" spans="7:11" x14ac:dyDescent="0.2">
      <c r="G833" s="44"/>
      <c r="H833" s="44"/>
      <c r="I833" s="44"/>
      <c r="J833" s="44"/>
      <c r="K833" s="44"/>
    </row>
    <row r="834" spans="7:11" x14ac:dyDescent="0.2">
      <c r="G834" s="44"/>
      <c r="H834" s="44"/>
      <c r="I834" s="44"/>
      <c r="J834" s="44"/>
      <c r="K834" s="44"/>
    </row>
    <row r="835" spans="7:11" x14ac:dyDescent="0.2">
      <c r="G835" s="44"/>
      <c r="H835" s="44"/>
      <c r="I835" s="44"/>
      <c r="J835" s="44"/>
      <c r="K835" s="44"/>
    </row>
    <row r="836" spans="7:11" x14ac:dyDescent="0.2">
      <c r="G836" s="44"/>
      <c r="H836" s="44"/>
      <c r="I836" s="44"/>
      <c r="J836" s="44"/>
      <c r="K836" s="44"/>
    </row>
    <row r="837" spans="7:11" x14ac:dyDescent="0.2">
      <c r="G837" s="44"/>
      <c r="H837" s="44"/>
      <c r="I837" s="44"/>
      <c r="J837" s="44"/>
      <c r="K837" s="44"/>
    </row>
    <row r="838" spans="7:11" x14ac:dyDescent="0.2">
      <c r="G838" s="44"/>
      <c r="H838" s="44"/>
      <c r="I838" s="44"/>
      <c r="J838" s="44"/>
      <c r="K838" s="44"/>
    </row>
    <row r="839" spans="7:11" x14ac:dyDescent="0.2">
      <c r="G839" s="44"/>
      <c r="H839" s="44"/>
      <c r="I839" s="44"/>
      <c r="J839" s="46"/>
      <c r="K839" s="44"/>
    </row>
    <row r="840" spans="7:11" x14ac:dyDescent="0.2">
      <c r="G840" s="44"/>
      <c r="H840" s="44"/>
      <c r="I840" s="44"/>
      <c r="J840" s="44"/>
      <c r="K840" s="44"/>
    </row>
    <row r="841" spans="7:11" x14ac:dyDescent="0.2">
      <c r="G841" s="44"/>
      <c r="H841" s="44"/>
      <c r="I841" s="44"/>
      <c r="J841" s="44"/>
      <c r="K841" s="44"/>
    </row>
    <row r="842" spans="7:11" x14ac:dyDescent="0.2">
      <c r="G842" s="44"/>
      <c r="H842" s="44"/>
      <c r="I842" s="44"/>
      <c r="J842" s="44"/>
      <c r="K842" s="44"/>
    </row>
    <row r="843" spans="7:11" x14ac:dyDescent="0.2">
      <c r="G843" s="46"/>
      <c r="H843" s="44"/>
      <c r="I843" s="44"/>
      <c r="J843" s="44"/>
      <c r="K843" s="44"/>
    </row>
    <row r="844" spans="7:11" x14ac:dyDescent="0.2">
      <c r="G844" s="44"/>
      <c r="H844" s="44"/>
      <c r="I844" s="44"/>
      <c r="J844" s="44"/>
      <c r="K844" s="44"/>
    </row>
    <row r="845" spans="7:11" x14ac:dyDescent="0.2">
      <c r="G845" s="44"/>
      <c r="H845" s="44"/>
      <c r="I845" s="44"/>
      <c r="J845" s="44"/>
      <c r="K845" s="44"/>
    </row>
    <row r="846" spans="7:11" x14ac:dyDescent="0.2">
      <c r="G846" s="44"/>
      <c r="H846" s="44"/>
      <c r="I846" s="44"/>
      <c r="J846" s="44"/>
      <c r="K846" s="44"/>
    </row>
    <row r="847" spans="7:11" x14ac:dyDescent="0.2">
      <c r="G847" s="44"/>
      <c r="H847" s="44"/>
      <c r="I847" s="44"/>
      <c r="J847" s="44"/>
      <c r="K847" s="44"/>
    </row>
    <row r="848" spans="7:11" x14ac:dyDescent="0.2">
      <c r="G848" s="44"/>
      <c r="H848" s="44"/>
      <c r="I848" s="44"/>
      <c r="J848" s="44"/>
      <c r="K848" s="44"/>
    </row>
    <row r="849" spans="7:11" x14ac:dyDescent="0.2">
      <c r="G849" s="44"/>
      <c r="H849" s="44"/>
      <c r="I849" s="44"/>
      <c r="J849" s="44"/>
      <c r="K849" s="44"/>
    </row>
    <row r="850" spans="7:11" x14ac:dyDescent="0.2">
      <c r="G850" s="44"/>
      <c r="H850" s="44"/>
      <c r="I850" s="44"/>
      <c r="J850" s="44"/>
      <c r="K850" s="44"/>
    </row>
    <row r="851" spans="7:11" x14ac:dyDescent="0.2">
      <c r="G851" s="44"/>
      <c r="H851" s="44"/>
      <c r="I851" s="44"/>
      <c r="J851" s="44"/>
      <c r="K851" s="44"/>
    </row>
    <row r="852" spans="7:11" x14ac:dyDescent="0.2">
      <c r="G852" s="44"/>
      <c r="H852" s="44"/>
      <c r="I852" s="44"/>
      <c r="J852" s="44"/>
      <c r="K852" s="44"/>
    </row>
    <row r="853" spans="7:11" x14ac:dyDescent="0.2">
      <c r="G853" s="44"/>
      <c r="H853" s="44"/>
      <c r="I853" s="44"/>
      <c r="J853" s="44"/>
      <c r="K853" s="44"/>
    </row>
    <row r="854" spans="7:11" x14ac:dyDescent="0.2">
      <c r="G854" s="44"/>
      <c r="H854" s="44"/>
      <c r="I854" s="44"/>
      <c r="J854" s="44"/>
      <c r="K854" s="44"/>
    </row>
    <row r="855" spans="7:11" x14ac:dyDescent="0.2">
      <c r="G855" s="47"/>
      <c r="H855" s="44"/>
      <c r="I855" s="44"/>
      <c r="J855" s="44"/>
      <c r="K855" s="44"/>
    </row>
    <row r="856" spans="7:11" x14ac:dyDescent="0.2">
      <c r="G856" s="44"/>
      <c r="H856" s="44"/>
      <c r="I856" s="44"/>
      <c r="J856" s="44"/>
      <c r="K856" s="44"/>
    </row>
    <row r="857" spans="7:11" x14ac:dyDescent="0.2">
      <c r="G857" s="44"/>
      <c r="H857" s="44"/>
      <c r="I857" s="44"/>
      <c r="J857" s="44"/>
      <c r="K857" s="44"/>
    </row>
    <row r="858" spans="7:11" x14ac:dyDescent="0.2">
      <c r="G858" s="44"/>
      <c r="H858" s="44"/>
      <c r="I858" s="44"/>
      <c r="J858" s="44"/>
      <c r="K858" s="44"/>
    </row>
    <row r="859" spans="7:11" x14ac:dyDescent="0.2">
      <c r="G859" s="44"/>
      <c r="H859" s="44"/>
      <c r="I859" s="44"/>
      <c r="J859" s="44"/>
      <c r="K859" s="44"/>
    </row>
    <row r="860" spans="7:11" x14ac:dyDescent="0.2">
      <c r="G860" s="44"/>
      <c r="H860" s="44"/>
      <c r="I860" s="44"/>
      <c r="J860" s="44"/>
      <c r="K860" s="44"/>
    </row>
    <row r="861" spans="7:11" x14ac:dyDescent="0.2">
      <c r="G861" s="44"/>
      <c r="H861" s="44"/>
      <c r="I861" s="44"/>
      <c r="J861" s="44"/>
      <c r="K861" s="44"/>
    </row>
    <row r="862" spans="7:11" x14ac:dyDescent="0.2">
      <c r="G862" s="44"/>
      <c r="H862" s="44"/>
      <c r="I862" s="44"/>
      <c r="J862" s="44"/>
      <c r="K862" s="44"/>
    </row>
    <row r="863" spans="7:11" x14ac:dyDescent="0.2">
      <c r="G863" s="44"/>
      <c r="H863" s="44"/>
      <c r="I863" s="44"/>
      <c r="J863" s="44"/>
      <c r="K863" s="44"/>
    </row>
    <row r="864" spans="7:11" x14ac:dyDescent="0.2">
      <c r="G864" s="44"/>
      <c r="H864" s="44"/>
      <c r="I864" s="44"/>
      <c r="J864" s="44"/>
      <c r="K864" s="44"/>
    </row>
    <row r="865" spans="7:11" x14ac:dyDescent="0.2">
      <c r="G865" s="44"/>
      <c r="H865" s="44"/>
      <c r="I865" s="44"/>
      <c r="J865" s="44"/>
      <c r="K865" s="44"/>
    </row>
    <row r="866" spans="7:11" x14ac:dyDescent="0.2">
      <c r="G866" s="44"/>
      <c r="H866" s="44"/>
      <c r="I866" s="44"/>
      <c r="J866" s="44"/>
      <c r="K866" s="44"/>
    </row>
    <row r="867" spans="7:11" x14ac:dyDescent="0.2">
      <c r="G867" s="44"/>
      <c r="H867" s="44"/>
      <c r="I867" s="44"/>
      <c r="J867" s="44"/>
      <c r="K867" s="44"/>
    </row>
    <row r="868" spans="7:11" x14ac:dyDescent="0.2">
      <c r="G868" s="44"/>
      <c r="H868" s="44"/>
      <c r="I868" s="44"/>
      <c r="J868" s="44"/>
      <c r="K868" s="44"/>
    </row>
    <row r="869" spans="7:11" x14ac:dyDescent="0.2">
      <c r="G869" s="44"/>
      <c r="H869" s="44"/>
      <c r="I869" s="44"/>
      <c r="J869" s="44"/>
      <c r="K869" s="44"/>
    </row>
    <row r="870" spans="7:11" x14ac:dyDescent="0.2">
      <c r="G870" s="44"/>
      <c r="H870" s="44"/>
      <c r="I870" s="44"/>
      <c r="J870" s="44"/>
      <c r="K870" s="44"/>
    </row>
    <row r="871" spans="7:11" x14ac:dyDescent="0.2">
      <c r="G871" s="44"/>
      <c r="H871" s="44"/>
      <c r="I871" s="44"/>
      <c r="J871" s="44"/>
      <c r="K871" s="44"/>
    </row>
    <row r="872" spans="7:11" x14ac:dyDescent="0.2">
      <c r="G872" s="44"/>
      <c r="H872" s="44"/>
      <c r="I872" s="44"/>
      <c r="J872" s="44"/>
      <c r="K872" s="44"/>
    </row>
    <row r="873" spans="7:11" x14ac:dyDescent="0.2">
      <c r="G873" s="44"/>
      <c r="H873" s="44"/>
      <c r="I873" s="44"/>
      <c r="J873" s="44"/>
      <c r="K873" s="44"/>
    </row>
    <row r="874" spans="7:11" x14ac:dyDescent="0.2">
      <c r="G874" s="44"/>
      <c r="H874" s="44"/>
      <c r="I874" s="44"/>
      <c r="J874" s="44"/>
      <c r="K874" s="44"/>
    </row>
    <row r="875" spans="7:11" x14ac:dyDescent="0.2">
      <c r="G875" s="44"/>
      <c r="H875" s="44"/>
      <c r="I875" s="44"/>
      <c r="J875" s="44"/>
      <c r="K875" s="44"/>
    </row>
    <row r="876" spans="7:11" x14ac:dyDescent="0.2">
      <c r="G876" s="44"/>
      <c r="H876" s="44"/>
      <c r="I876" s="44"/>
      <c r="J876" s="44"/>
      <c r="K876" s="44"/>
    </row>
    <row r="877" spans="7:11" x14ac:dyDescent="0.2">
      <c r="G877" s="44"/>
      <c r="H877" s="44"/>
      <c r="I877" s="44"/>
      <c r="J877" s="44"/>
      <c r="K877" s="44"/>
    </row>
    <row r="878" spans="7:11" x14ac:dyDescent="0.2">
      <c r="G878" s="44"/>
      <c r="H878" s="44"/>
      <c r="I878" s="44"/>
      <c r="J878" s="44"/>
      <c r="K878" s="44"/>
    </row>
    <row r="879" spans="7:11" x14ac:dyDescent="0.2">
      <c r="G879" s="44"/>
      <c r="H879" s="44"/>
      <c r="I879" s="44"/>
      <c r="J879" s="44"/>
      <c r="K879" s="44"/>
    </row>
    <row r="880" spans="7:11" x14ac:dyDescent="0.2">
      <c r="G880" s="44"/>
      <c r="H880" s="44"/>
      <c r="I880" s="44"/>
      <c r="J880" s="44"/>
      <c r="K880" s="44"/>
    </row>
    <row r="881" spans="7:11" x14ac:dyDescent="0.2">
      <c r="G881" s="44"/>
      <c r="H881" s="44"/>
      <c r="I881" s="44"/>
      <c r="J881" s="44"/>
      <c r="K881" s="44"/>
    </row>
    <row r="882" spans="7:11" x14ac:dyDescent="0.2">
      <c r="G882" s="44"/>
      <c r="H882" s="44"/>
      <c r="I882" s="44"/>
      <c r="J882" s="44"/>
      <c r="K882" s="44"/>
    </row>
    <row r="883" spans="7:11" x14ac:dyDescent="0.2">
      <c r="G883" s="44"/>
      <c r="H883" s="44"/>
      <c r="I883" s="44"/>
      <c r="J883" s="44"/>
      <c r="K883" s="44"/>
    </row>
    <row r="884" spans="7:11" x14ac:dyDescent="0.2">
      <c r="G884" s="44"/>
      <c r="H884" s="44"/>
      <c r="I884" s="44"/>
      <c r="J884" s="44"/>
      <c r="K884" s="44"/>
    </row>
    <row r="885" spans="7:11" x14ac:dyDescent="0.2">
      <c r="G885" s="44"/>
      <c r="H885" s="44"/>
      <c r="I885" s="44"/>
      <c r="J885" s="44"/>
      <c r="K885" s="44"/>
    </row>
    <row r="886" spans="7:11" x14ac:dyDescent="0.2">
      <c r="G886" s="44"/>
      <c r="H886" s="44"/>
      <c r="I886" s="44"/>
      <c r="J886" s="44"/>
      <c r="K886" s="44"/>
    </row>
    <row r="887" spans="7:11" x14ac:dyDescent="0.2">
      <c r="G887" s="44"/>
      <c r="H887" s="44"/>
      <c r="I887" s="44"/>
      <c r="J887" s="44"/>
      <c r="K887" s="44"/>
    </row>
    <row r="888" spans="7:11" x14ac:dyDescent="0.2">
      <c r="G888" s="46"/>
      <c r="H888" s="46"/>
      <c r="I888" s="44"/>
      <c r="J888" s="44"/>
      <c r="K888" s="44"/>
    </row>
    <row r="889" spans="7:11" x14ac:dyDescent="0.2">
      <c r="G889" s="44"/>
      <c r="H889" s="44"/>
      <c r="I889" s="44"/>
      <c r="J889" s="44"/>
      <c r="K889" s="44"/>
    </row>
    <row r="890" spans="7:11" x14ac:dyDescent="0.2">
      <c r="G890" s="44"/>
      <c r="H890" s="44"/>
      <c r="I890" s="44"/>
      <c r="J890" s="44"/>
      <c r="K890" s="44"/>
    </row>
    <row r="891" spans="7:11" x14ac:dyDescent="0.2">
      <c r="G891" s="44"/>
      <c r="H891" s="44"/>
      <c r="I891" s="44"/>
      <c r="J891" s="44"/>
      <c r="K891" s="46"/>
    </row>
    <row r="892" spans="7:11" x14ac:dyDescent="0.2">
      <c r="G892" s="44"/>
      <c r="H892" s="44"/>
      <c r="I892" s="44"/>
      <c r="J892" s="44"/>
      <c r="K892" s="44"/>
    </row>
    <row r="893" spans="7:11" x14ac:dyDescent="0.2">
      <c r="G893" s="44"/>
      <c r="H893" s="44"/>
      <c r="I893" s="44"/>
      <c r="J893" s="44"/>
      <c r="K893" s="44"/>
    </row>
    <row r="894" spans="7:11" x14ac:dyDescent="0.2">
      <c r="G894" s="44"/>
      <c r="H894" s="44"/>
      <c r="I894" s="44"/>
      <c r="J894" s="44"/>
      <c r="K894" s="44"/>
    </row>
    <row r="895" spans="7:11" x14ac:dyDescent="0.2">
      <c r="G895" s="44"/>
      <c r="H895" s="44"/>
      <c r="I895" s="44"/>
      <c r="J895" s="44"/>
      <c r="K895" s="44"/>
    </row>
    <row r="896" spans="7:11" x14ac:dyDescent="0.2">
      <c r="G896" s="46"/>
      <c r="H896" s="44"/>
      <c r="I896" s="44"/>
      <c r="J896" s="44"/>
      <c r="K896" s="44"/>
    </row>
    <row r="897" spans="7:11" x14ac:dyDescent="0.2">
      <c r="G897" s="44"/>
      <c r="H897" s="44"/>
      <c r="I897" s="44"/>
      <c r="J897" s="44"/>
      <c r="K897" s="44"/>
    </row>
    <row r="898" spans="7:11" x14ac:dyDescent="0.2">
      <c r="G898" s="44"/>
      <c r="H898" s="44"/>
      <c r="I898" s="44"/>
      <c r="J898" s="44"/>
      <c r="K898" s="44"/>
    </row>
    <row r="899" spans="7:11" x14ac:dyDescent="0.2">
      <c r="G899" s="44"/>
      <c r="H899" s="44"/>
      <c r="I899" s="44"/>
      <c r="J899" s="44"/>
      <c r="K899" s="44"/>
    </row>
    <row r="900" spans="7:11" x14ac:dyDescent="0.2">
      <c r="G900" s="44"/>
      <c r="H900" s="44"/>
      <c r="I900" s="44"/>
      <c r="J900" s="44"/>
      <c r="K900" s="44"/>
    </row>
    <row r="901" spans="7:11" x14ac:dyDescent="0.2">
      <c r="G901" s="44"/>
      <c r="H901" s="44"/>
      <c r="I901" s="44"/>
      <c r="J901" s="44"/>
      <c r="K901" s="44"/>
    </row>
    <row r="902" spans="7:11" x14ac:dyDescent="0.2">
      <c r="G902" s="44"/>
      <c r="H902" s="44"/>
      <c r="I902" s="44"/>
      <c r="J902" s="44"/>
      <c r="K902" s="44"/>
    </row>
    <row r="903" spans="7:11" x14ac:dyDescent="0.2">
      <c r="G903" s="44"/>
      <c r="H903" s="44"/>
      <c r="I903" s="44"/>
      <c r="J903" s="44"/>
      <c r="K903" s="44"/>
    </row>
    <row r="904" spans="7:11" x14ac:dyDescent="0.2">
      <c r="G904" s="44"/>
      <c r="H904" s="44"/>
      <c r="I904" s="44"/>
      <c r="J904" s="44"/>
      <c r="K904" s="44"/>
    </row>
    <row r="905" spans="7:11" x14ac:dyDescent="0.2">
      <c r="G905" s="44"/>
      <c r="H905" s="44"/>
      <c r="I905" s="44"/>
      <c r="J905" s="44"/>
      <c r="K905" s="44"/>
    </row>
    <row r="906" spans="7:11" x14ac:dyDescent="0.2">
      <c r="G906" s="44"/>
      <c r="H906" s="44"/>
      <c r="I906" s="44"/>
      <c r="J906" s="44"/>
      <c r="K906" s="44"/>
    </row>
    <row r="907" spans="7:11" x14ac:dyDescent="0.2">
      <c r="G907" s="44"/>
      <c r="H907" s="46"/>
      <c r="I907" s="44"/>
      <c r="J907" s="44"/>
      <c r="K907" s="44"/>
    </row>
    <row r="908" spans="7:11" x14ac:dyDescent="0.2">
      <c r="G908" s="44"/>
      <c r="H908" s="44"/>
      <c r="I908" s="44"/>
      <c r="J908" s="44"/>
      <c r="K908" s="44"/>
    </row>
    <row r="909" spans="7:11" x14ac:dyDescent="0.2">
      <c r="G909" s="44"/>
      <c r="H909" s="44"/>
      <c r="I909" s="44"/>
      <c r="J909" s="44"/>
      <c r="K909" s="44"/>
    </row>
    <row r="910" spans="7:11" x14ac:dyDescent="0.2">
      <c r="G910" s="44"/>
      <c r="H910" s="46"/>
      <c r="I910" s="44"/>
      <c r="J910" s="44"/>
      <c r="K910" s="44"/>
    </row>
    <row r="911" spans="7:11" x14ac:dyDescent="0.2">
      <c r="G911" s="44"/>
      <c r="H911" s="44"/>
      <c r="I911" s="44"/>
      <c r="J911" s="44"/>
      <c r="K911" s="44"/>
    </row>
    <row r="912" spans="7:11" x14ac:dyDescent="0.2">
      <c r="G912" s="44"/>
      <c r="H912" s="44"/>
      <c r="I912" s="44"/>
      <c r="J912" s="44"/>
      <c r="K912" s="44"/>
    </row>
    <row r="913" spans="7:11" x14ac:dyDescent="0.2">
      <c r="G913" s="44"/>
      <c r="H913" s="44"/>
      <c r="I913" s="44"/>
      <c r="J913" s="44"/>
      <c r="K913" s="44"/>
    </row>
    <row r="914" spans="7:11" x14ac:dyDescent="0.2">
      <c r="G914" s="44"/>
      <c r="H914" s="44"/>
      <c r="I914" s="44"/>
      <c r="J914" s="44"/>
      <c r="K914" s="44"/>
    </row>
    <row r="915" spans="7:11" x14ac:dyDescent="0.2">
      <c r="G915" s="44"/>
      <c r="H915" s="44"/>
      <c r="I915" s="44"/>
      <c r="J915" s="44"/>
      <c r="K915" s="44"/>
    </row>
    <row r="916" spans="7:11" x14ac:dyDescent="0.2">
      <c r="G916" s="46"/>
      <c r="H916" s="44"/>
      <c r="I916" s="44"/>
      <c r="J916" s="44"/>
      <c r="K916" s="44"/>
    </row>
    <row r="917" spans="7:11" x14ac:dyDescent="0.2">
      <c r="G917" s="44"/>
      <c r="H917" s="46"/>
      <c r="I917" s="44"/>
      <c r="J917" s="46"/>
      <c r="K917" s="44"/>
    </row>
    <row r="918" spans="7:11" x14ac:dyDescent="0.2">
      <c r="G918" s="44"/>
      <c r="H918" s="44"/>
      <c r="I918" s="44"/>
      <c r="J918" s="44"/>
      <c r="K918" s="44"/>
    </row>
    <row r="919" spans="7:11" x14ac:dyDescent="0.2">
      <c r="G919" s="44"/>
      <c r="H919" s="44"/>
      <c r="I919" s="44"/>
      <c r="J919" s="44"/>
      <c r="K919" s="44"/>
    </row>
    <row r="920" spans="7:11" x14ac:dyDescent="0.2">
      <c r="G920" s="44"/>
      <c r="H920" s="44"/>
      <c r="I920" s="44"/>
      <c r="J920" s="44"/>
      <c r="K920" s="44"/>
    </row>
    <row r="921" spans="7:11" x14ac:dyDescent="0.2">
      <c r="G921" s="44"/>
      <c r="H921" s="44"/>
      <c r="I921" s="44"/>
      <c r="J921" s="44"/>
      <c r="K921" s="44"/>
    </row>
    <row r="922" spans="7:11" x14ac:dyDescent="0.2">
      <c r="G922" s="46"/>
      <c r="H922" s="44"/>
      <c r="I922" s="44"/>
      <c r="J922" s="44"/>
      <c r="K922" s="44"/>
    </row>
    <row r="923" spans="7:11" x14ac:dyDescent="0.2">
      <c r="G923" s="46"/>
      <c r="H923" s="44"/>
      <c r="I923" s="44"/>
      <c r="J923" s="44"/>
      <c r="K923" s="44"/>
    </row>
    <row r="924" spans="7:11" x14ac:dyDescent="0.2">
      <c r="G924" s="44"/>
      <c r="H924" s="44"/>
      <c r="I924" s="44"/>
      <c r="J924" s="44"/>
      <c r="K924" s="44"/>
    </row>
    <row r="925" spans="7:11" x14ac:dyDescent="0.2">
      <c r="G925" s="44"/>
      <c r="H925" s="44"/>
      <c r="I925" s="44"/>
      <c r="J925" s="44"/>
      <c r="K925" s="44"/>
    </row>
    <row r="926" spans="7:11" x14ac:dyDescent="0.2">
      <c r="G926" s="44"/>
      <c r="H926" s="44"/>
      <c r="I926" s="44"/>
      <c r="J926" s="44"/>
      <c r="K926" s="44"/>
    </row>
    <row r="927" spans="7:11" x14ac:dyDescent="0.2">
      <c r="G927" s="44"/>
      <c r="H927" s="44"/>
      <c r="I927" s="44"/>
      <c r="J927" s="44"/>
      <c r="K927" s="44"/>
    </row>
    <row r="928" spans="7:11" x14ac:dyDescent="0.2">
      <c r="G928" s="48"/>
      <c r="H928" s="48"/>
      <c r="I928" s="48"/>
      <c r="J928" s="48"/>
      <c r="K928" s="48"/>
    </row>
    <row r="929" spans="7:11" x14ac:dyDescent="0.2">
      <c r="G929" s="48"/>
      <c r="H929" s="48"/>
      <c r="I929" s="48"/>
      <c r="J929" s="48"/>
      <c r="K929" s="48"/>
    </row>
    <row r="930" spans="7:11" x14ac:dyDescent="0.2">
      <c r="G930" s="48"/>
      <c r="H930" s="48"/>
      <c r="I930" s="48"/>
      <c r="J930" s="48"/>
      <c r="K930" s="48"/>
    </row>
    <row r="931" spans="7:11" x14ac:dyDescent="0.2">
      <c r="G931" s="48"/>
      <c r="H931" s="48"/>
      <c r="I931" s="48"/>
      <c r="J931" s="48"/>
      <c r="K931" s="48"/>
    </row>
    <row r="932" spans="7:11" x14ac:dyDescent="0.2">
      <c r="G932" s="48"/>
      <c r="H932" s="48"/>
      <c r="I932" s="48"/>
      <c r="J932" s="48"/>
      <c r="K932" s="48"/>
    </row>
    <row r="933" spans="7:11" x14ac:dyDescent="0.2">
      <c r="G933" s="48"/>
      <c r="H933" s="48"/>
      <c r="I933" s="48"/>
      <c r="J933" s="48"/>
      <c r="K933" s="48"/>
    </row>
    <row r="934" spans="7:11" x14ac:dyDescent="0.2">
      <c r="G934" s="48"/>
      <c r="H934" s="48"/>
      <c r="I934" s="48"/>
      <c r="J934" s="48"/>
      <c r="K934" s="48"/>
    </row>
    <row r="935" spans="7:11" x14ac:dyDescent="0.2">
      <c r="G935" s="48"/>
      <c r="H935" s="48"/>
      <c r="I935" s="48"/>
      <c r="J935" s="48"/>
      <c r="K935" s="48"/>
    </row>
    <row r="936" spans="7:11" x14ac:dyDescent="0.2">
      <c r="G936" s="48"/>
      <c r="H936" s="48"/>
      <c r="I936" s="48"/>
      <c r="J936" s="48"/>
      <c r="K936" s="48"/>
    </row>
    <row r="937" spans="7:11" x14ac:dyDescent="0.2">
      <c r="G937" s="48"/>
      <c r="H937" s="48"/>
      <c r="I937" s="48"/>
      <c r="J937" s="48"/>
      <c r="K937" s="48"/>
    </row>
    <row r="938" spans="7:11" x14ac:dyDescent="0.2">
      <c r="G938" s="48"/>
      <c r="H938" s="48"/>
      <c r="I938" s="48"/>
      <c r="J938" s="48"/>
      <c r="K938" s="48"/>
    </row>
    <row r="939" spans="7:11" x14ac:dyDescent="0.2">
      <c r="G939" s="48"/>
      <c r="H939" s="48"/>
      <c r="I939" s="48"/>
      <c r="J939" s="48"/>
      <c r="K939" s="48"/>
    </row>
    <row r="940" spans="7:11" x14ac:dyDescent="0.2">
      <c r="G940" s="48"/>
      <c r="H940" s="48"/>
      <c r="I940" s="48"/>
      <c r="J940" s="48"/>
      <c r="K940" s="48"/>
    </row>
    <row r="941" spans="7:11" x14ac:dyDescent="0.2">
      <c r="G941" s="48"/>
      <c r="H941" s="48"/>
      <c r="I941" s="48"/>
      <c r="J941" s="48"/>
      <c r="K941" s="48"/>
    </row>
    <row r="942" spans="7:11" x14ac:dyDescent="0.2">
      <c r="G942" s="48"/>
      <c r="H942" s="48"/>
      <c r="I942" s="48"/>
      <c r="J942" s="48"/>
      <c r="K942" s="48"/>
    </row>
    <row r="943" spans="7:11" x14ac:dyDescent="0.2">
      <c r="G943" s="48"/>
      <c r="H943" s="48"/>
      <c r="I943" s="48"/>
      <c r="J943" s="48"/>
      <c r="K943" s="48"/>
    </row>
    <row r="944" spans="7:11" x14ac:dyDescent="0.2">
      <c r="G944" s="48"/>
      <c r="H944" s="48"/>
      <c r="I944" s="48"/>
      <c r="J944" s="48"/>
      <c r="K944" s="48"/>
    </row>
    <row r="945" spans="7:11" x14ac:dyDescent="0.2">
      <c r="G945" s="48"/>
      <c r="H945" s="48"/>
      <c r="I945" s="48"/>
      <c r="J945" s="48"/>
      <c r="K945" s="48"/>
    </row>
    <row r="946" spans="7:11" x14ac:dyDescent="0.2">
      <c r="G946" s="48"/>
      <c r="H946" s="48"/>
      <c r="I946" s="48"/>
      <c r="J946" s="48"/>
      <c r="K946" s="48"/>
    </row>
    <row r="947" spans="7:11" x14ac:dyDescent="0.2">
      <c r="G947" s="48"/>
      <c r="H947" s="48"/>
      <c r="I947" s="48"/>
      <c r="J947" s="48"/>
      <c r="K947" s="48"/>
    </row>
    <row r="948" spans="7:11" x14ac:dyDescent="0.2">
      <c r="G948" s="48"/>
      <c r="H948" s="48"/>
      <c r="I948" s="48"/>
      <c r="J948" s="48"/>
      <c r="K948" s="48"/>
    </row>
    <row r="949" spans="7:11" x14ac:dyDescent="0.2">
      <c r="G949" s="48"/>
      <c r="H949" s="48"/>
      <c r="I949" s="48"/>
      <c r="J949" s="48"/>
      <c r="K949" s="48"/>
    </row>
    <row r="950" spans="7:11" x14ac:dyDescent="0.2">
      <c r="G950" s="48"/>
      <c r="H950" s="48"/>
      <c r="I950" s="48"/>
      <c r="J950" s="48"/>
      <c r="K950" s="48"/>
    </row>
    <row r="951" spans="7:11" x14ac:dyDescent="0.2">
      <c r="G951" s="48"/>
      <c r="H951" s="48"/>
      <c r="I951" s="48"/>
      <c r="J951" s="48"/>
      <c r="K951" s="48"/>
    </row>
    <row r="952" spans="7:11" x14ac:dyDescent="0.2">
      <c r="G952" s="48"/>
      <c r="H952" s="48"/>
      <c r="I952" s="48"/>
      <c r="J952" s="48"/>
      <c r="K952" s="48"/>
    </row>
    <row r="953" spans="7:11" x14ac:dyDescent="0.2">
      <c r="G953" s="48"/>
      <c r="H953" s="48"/>
      <c r="I953" s="48"/>
      <c r="J953" s="48"/>
      <c r="K953" s="48"/>
    </row>
    <row r="954" spans="7:11" x14ac:dyDescent="0.2">
      <c r="G954" s="48"/>
      <c r="H954" s="48"/>
      <c r="I954" s="48"/>
      <c r="J954" s="48"/>
      <c r="K954" s="48"/>
    </row>
    <row r="955" spans="7:11" x14ac:dyDescent="0.2">
      <c r="G955" s="48"/>
      <c r="H955" s="48"/>
      <c r="I955" s="48"/>
      <c r="J955" s="48"/>
      <c r="K955" s="48"/>
    </row>
    <row r="956" spans="7:11" x14ac:dyDescent="0.2">
      <c r="G956" s="48"/>
      <c r="H956" s="48"/>
      <c r="I956" s="48"/>
      <c r="J956" s="48"/>
      <c r="K956" s="48"/>
    </row>
    <row r="957" spans="7:11" x14ac:dyDescent="0.2">
      <c r="G957" s="48"/>
      <c r="H957" s="48"/>
      <c r="I957" s="48"/>
      <c r="J957" s="48"/>
      <c r="K957" s="48"/>
    </row>
    <row r="958" spans="7:11" x14ac:dyDescent="0.2">
      <c r="G958" s="48"/>
      <c r="H958" s="48"/>
      <c r="I958" s="48"/>
      <c r="J958" s="48"/>
      <c r="K958" s="48"/>
    </row>
    <row r="959" spans="7:11" x14ac:dyDescent="0.2">
      <c r="G959" s="48"/>
      <c r="H959" s="48"/>
      <c r="I959" s="48"/>
      <c r="J959" s="48"/>
      <c r="K959" s="48"/>
    </row>
    <row r="960" spans="7:11" x14ac:dyDescent="0.2">
      <c r="G960" s="48"/>
      <c r="H960" s="48"/>
      <c r="I960" s="48"/>
      <c r="J960" s="48"/>
      <c r="K960" s="48"/>
    </row>
    <row r="961" spans="7:11" x14ac:dyDescent="0.2">
      <c r="G961" s="48"/>
      <c r="H961" s="48"/>
      <c r="I961" s="48"/>
      <c r="J961" s="48"/>
      <c r="K961" s="48"/>
    </row>
    <row r="962" spans="7:11" x14ac:dyDescent="0.2">
      <c r="G962" s="48"/>
      <c r="H962" s="48"/>
      <c r="I962" s="48"/>
      <c r="J962" s="48"/>
      <c r="K962" s="48"/>
    </row>
    <row r="963" spans="7:11" x14ac:dyDescent="0.2">
      <c r="G963" s="48"/>
      <c r="H963" s="48"/>
      <c r="I963" s="48"/>
      <c r="J963" s="48"/>
      <c r="K963" s="48"/>
    </row>
    <row r="964" spans="7:11" x14ac:dyDescent="0.2">
      <c r="G964" s="48"/>
      <c r="H964" s="48"/>
      <c r="I964" s="48"/>
      <c r="J964" s="48"/>
      <c r="K964" s="48"/>
    </row>
    <row r="965" spans="7:11" x14ac:dyDescent="0.2">
      <c r="G965" s="48"/>
      <c r="H965" s="48"/>
      <c r="I965" s="48"/>
      <c r="J965" s="48"/>
      <c r="K965" s="48"/>
    </row>
    <row r="966" spans="7:11" x14ac:dyDescent="0.2">
      <c r="G966" s="48"/>
      <c r="H966" s="48"/>
      <c r="I966" s="48"/>
      <c r="J966" s="48"/>
      <c r="K966" s="48"/>
    </row>
    <row r="967" spans="7:11" x14ac:dyDescent="0.2">
      <c r="G967" s="48"/>
      <c r="H967" s="48"/>
      <c r="I967" s="48"/>
      <c r="J967" s="48"/>
      <c r="K967" s="48"/>
    </row>
    <row r="968" spans="7:11" x14ac:dyDescent="0.2">
      <c r="G968" s="48"/>
      <c r="H968" s="48"/>
      <c r="I968" s="48"/>
      <c r="J968" s="48"/>
      <c r="K968" s="48"/>
    </row>
    <row r="969" spans="7:11" x14ac:dyDescent="0.2">
      <c r="G969" s="48"/>
      <c r="H969" s="48"/>
      <c r="I969" s="48"/>
      <c r="J969" s="48"/>
      <c r="K969" s="48"/>
    </row>
    <row r="970" spans="7:11" x14ac:dyDescent="0.2">
      <c r="G970" s="48"/>
      <c r="H970" s="48"/>
      <c r="I970" s="48"/>
      <c r="J970" s="48"/>
      <c r="K970" s="48"/>
    </row>
    <row r="971" spans="7:11" x14ac:dyDescent="0.2">
      <c r="G971" s="48"/>
      <c r="H971" s="48"/>
      <c r="I971" s="48"/>
      <c r="J971" s="48"/>
      <c r="K971" s="48"/>
    </row>
    <row r="972" spans="7:11" x14ac:dyDescent="0.2">
      <c r="G972" s="48"/>
      <c r="H972" s="48"/>
      <c r="I972" s="48"/>
      <c r="J972" s="48"/>
      <c r="K972" s="48"/>
    </row>
    <row r="973" spans="7:11" x14ac:dyDescent="0.2">
      <c r="G973" s="48"/>
      <c r="H973" s="48"/>
      <c r="I973" s="48"/>
      <c r="J973" s="48"/>
      <c r="K973" s="48"/>
    </row>
    <row r="974" spans="7:11" x14ac:dyDescent="0.2">
      <c r="G974" s="48"/>
      <c r="H974" s="48"/>
      <c r="I974" s="48"/>
      <c r="J974" s="48"/>
      <c r="K974" s="48"/>
    </row>
    <row r="975" spans="7:11" x14ac:dyDescent="0.2">
      <c r="G975" s="48"/>
      <c r="H975" s="48"/>
      <c r="I975" s="48"/>
      <c r="J975" s="48"/>
      <c r="K975" s="48"/>
    </row>
    <row r="976" spans="7:11" x14ac:dyDescent="0.2">
      <c r="G976" s="48"/>
      <c r="H976" s="48"/>
      <c r="I976" s="48"/>
      <c r="J976" s="48"/>
      <c r="K976" s="48"/>
    </row>
    <row r="977" spans="7:11" x14ac:dyDescent="0.2">
      <c r="G977" s="48"/>
      <c r="H977" s="48"/>
      <c r="I977" s="48"/>
      <c r="J977" s="48"/>
      <c r="K977" s="48"/>
    </row>
    <row r="978" spans="7:11" x14ac:dyDescent="0.2">
      <c r="G978" s="48"/>
      <c r="H978" s="48"/>
      <c r="I978" s="48"/>
      <c r="J978" s="48"/>
      <c r="K978" s="48"/>
    </row>
    <row r="979" spans="7:11" x14ac:dyDescent="0.2">
      <c r="G979" s="48"/>
      <c r="H979" s="48"/>
      <c r="I979" s="48"/>
      <c r="J979" s="48"/>
      <c r="K979" s="48"/>
    </row>
    <row r="980" spans="7:11" x14ac:dyDescent="0.2">
      <c r="G980" s="48"/>
      <c r="H980" s="48"/>
      <c r="I980" s="48"/>
      <c r="J980" s="48"/>
      <c r="K980" s="48"/>
    </row>
    <row r="981" spans="7:11" x14ac:dyDescent="0.2">
      <c r="G981" s="48"/>
      <c r="H981" s="48"/>
      <c r="I981" s="48"/>
      <c r="J981" s="48"/>
      <c r="K981" s="48"/>
    </row>
    <row r="982" spans="7:11" x14ac:dyDescent="0.2">
      <c r="G982" s="48"/>
      <c r="H982" s="48"/>
      <c r="I982" s="48"/>
      <c r="J982" s="48"/>
      <c r="K982" s="48"/>
    </row>
    <row r="983" spans="7:11" x14ac:dyDescent="0.2">
      <c r="G983" s="48"/>
      <c r="H983" s="48"/>
      <c r="I983" s="48"/>
      <c r="J983" s="48"/>
      <c r="K983" s="48"/>
    </row>
    <row r="984" spans="7:11" x14ac:dyDescent="0.2">
      <c r="G984" s="48"/>
      <c r="H984" s="48"/>
      <c r="I984" s="48"/>
      <c r="J984" s="48"/>
      <c r="K984" s="48"/>
    </row>
    <row r="985" spans="7:11" x14ac:dyDescent="0.2">
      <c r="G985" s="48"/>
      <c r="H985" s="48"/>
      <c r="I985" s="48"/>
      <c r="J985" s="48"/>
      <c r="K985" s="48"/>
    </row>
    <row r="986" spans="7:11" x14ac:dyDescent="0.2">
      <c r="G986" s="48"/>
      <c r="H986" s="48"/>
      <c r="I986" s="48"/>
      <c r="J986" s="48"/>
      <c r="K986" s="48"/>
    </row>
    <row r="987" spans="7:11" x14ac:dyDescent="0.2">
      <c r="G987" s="48"/>
      <c r="H987" s="48"/>
      <c r="I987" s="48"/>
      <c r="J987" s="48"/>
      <c r="K987" s="48"/>
    </row>
    <row r="988" spans="7:11" x14ac:dyDescent="0.2">
      <c r="G988" s="48"/>
      <c r="H988" s="48"/>
      <c r="I988" s="48"/>
      <c r="J988" s="48"/>
      <c r="K988" s="48"/>
    </row>
    <row r="989" spans="7:11" x14ac:dyDescent="0.2">
      <c r="G989" s="48"/>
      <c r="H989" s="48"/>
      <c r="I989" s="48"/>
      <c r="J989" s="48"/>
      <c r="K989" s="48"/>
    </row>
    <row r="990" spans="7:11" x14ac:dyDescent="0.2">
      <c r="G990" s="48"/>
      <c r="H990" s="48"/>
      <c r="I990" s="48"/>
      <c r="J990" s="48"/>
      <c r="K990" s="48"/>
    </row>
    <row r="991" spans="7:11" x14ac:dyDescent="0.2">
      <c r="G991" s="48"/>
      <c r="H991" s="48"/>
      <c r="I991" s="48"/>
      <c r="J991" s="48"/>
      <c r="K991" s="48"/>
    </row>
    <row r="992" spans="7:11" x14ac:dyDescent="0.2">
      <c r="G992" s="48"/>
      <c r="H992" s="48"/>
      <c r="I992" s="48"/>
      <c r="J992" s="48"/>
      <c r="K992" s="48"/>
    </row>
    <row r="993" spans="7:11" x14ac:dyDescent="0.2">
      <c r="G993" s="48"/>
      <c r="H993" s="48"/>
      <c r="I993" s="48"/>
      <c r="J993" s="48"/>
      <c r="K993" s="48"/>
    </row>
    <row r="994" spans="7:11" x14ac:dyDescent="0.2">
      <c r="G994" s="48"/>
      <c r="H994" s="48"/>
      <c r="I994" s="48"/>
      <c r="J994" s="48"/>
      <c r="K994" s="48"/>
    </row>
    <row r="995" spans="7:11" x14ac:dyDescent="0.2">
      <c r="G995" s="48"/>
      <c r="H995" s="48"/>
      <c r="I995" s="48"/>
      <c r="J995" s="48"/>
      <c r="K995" s="48"/>
    </row>
    <row r="996" spans="7:11" x14ac:dyDescent="0.2">
      <c r="G996" s="48"/>
      <c r="H996" s="48"/>
      <c r="I996" s="48"/>
      <c r="J996" s="48"/>
      <c r="K996" s="48"/>
    </row>
    <row r="997" spans="7:11" x14ac:dyDescent="0.2">
      <c r="G997" s="48"/>
      <c r="H997" s="48"/>
      <c r="I997" s="48"/>
      <c r="J997" s="48"/>
      <c r="K997" s="48"/>
    </row>
    <row r="998" spans="7:11" x14ac:dyDescent="0.2">
      <c r="G998" s="48"/>
      <c r="H998" s="48"/>
      <c r="I998" s="48"/>
      <c r="J998" s="48"/>
      <c r="K998" s="48"/>
    </row>
    <row r="999" spans="7:11" x14ac:dyDescent="0.2">
      <c r="G999" s="48"/>
      <c r="H999" s="48"/>
      <c r="I999" s="48"/>
      <c r="J999" s="48"/>
      <c r="K999" s="48"/>
    </row>
    <row r="1000" spans="7:11" x14ac:dyDescent="0.2">
      <c r="G1000" s="48"/>
      <c r="H1000" s="48"/>
      <c r="I1000" s="48"/>
      <c r="J1000" s="48"/>
      <c r="K1000"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
  <sheetViews>
    <sheetView workbookViewId="0"/>
  </sheetViews>
  <sheetFormatPr baseColWidth="10" defaultColWidth="14.3984375" defaultRowHeight="15.75" customHeight="1" x14ac:dyDescent="0.2"/>
  <sheetData>
    <row r="1" spans="1:5" x14ac:dyDescent="0.2">
      <c r="A1" s="49">
        <f t="array" ref="A1:E100">Datainsamling!AO2:AS101 / 100</f>
        <v>9.1199999999999994E-4</v>
      </c>
      <c r="B1" s="50">
        <v>5.1699999999999999E-4</v>
      </c>
      <c r="C1" s="49">
        <v>5.9500000000000004E-4</v>
      </c>
      <c r="D1" s="49">
        <v>7.8299999999999995E-4</v>
      </c>
      <c r="E1" s="49">
        <v>7.5999999999999993E-4</v>
      </c>
    </row>
    <row r="2" spans="1:5" x14ac:dyDescent="0.2">
      <c r="A2" s="49">
        <v>1.235E-3</v>
      </c>
      <c r="B2" s="49">
        <v>1.165E-3</v>
      </c>
      <c r="C2" s="49">
        <v>1.072E-3</v>
      </c>
      <c r="D2" s="49">
        <v>8.8399999999999991E-4</v>
      </c>
      <c r="E2" s="49">
        <v>9.9399999999999987E-4</v>
      </c>
    </row>
    <row r="3" spans="1:5" x14ac:dyDescent="0.2">
      <c r="A3" s="49">
        <v>8.560000000000001E-4</v>
      </c>
      <c r="B3" s="49">
        <v>9.4299999999999994E-4</v>
      </c>
      <c r="C3" s="49">
        <v>8.7799999999999987E-4</v>
      </c>
      <c r="D3" s="49">
        <v>9.2200000000000008E-4</v>
      </c>
      <c r="E3" s="49">
        <v>7.3499999999999998E-4</v>
      </c>
    </row>
    <row r="4" spans="1:5" x14ac:dyDescent="0.2">
      <c r="A4" s="49">
        <v>-1.8999999999999998E-4</v>
      </c>
      <c r="B4" s="49">
        <v>-7.0000000000000007E-6</v>
      </c>
      <c r="C4" s="49">
        <v>5.4500000000000002E-4</v>
      </c>
      <c r="D4" s="49">
        <v>5.0499999999999992E-4</v>
      </c>
      <c r="E4" s="49">
        <v>2.7399999999999999E-4</v>
      </c>
    </row>
    <row r="5" spans="1:5" x14ac:dyDescent="0.2">
      <c r="A5" s="49">
        <v>1.1259999999999998E-3</v>
      </c>
      <c r="B5" s="49">
        <v>8.9299999999999991E-4</v>
      </c>
      <c r="C5" s="49">
        <v>1.3269999999999998E-3</v>
      </c>
      <c r="D5" s="49">
        <v>9.5399999999999988E-4</v>
      </c>
      <c r="E5" s="49">
        <v>1.1259999999999998E-3</v>
      </c>
    </row>
    <row r="6" spans="1:5" x14ac:dyDescent="0.2">
      <c r="A6" s="49">
        <v>1.2570000000000001E-3</v>
      </c>
      <c r="B6" s="49">
        <v>9.8700000000000003E-4</v>
      </c>
      <c r="C6" s="49">
        <v>1.1919999999999999E-3</v>
      </c>
      <c r="D6" s="49">
        <v>8.2100000000000012E-4</v>
      </c>
      <c r="E6" s="49">
        <v>1.1539999999999999E-3</v>
      </c>
    </row>
    <row r="7" spans="1:5" x14ac:dyDescent="0.2">
      <c r="A7" s="49">
        <v>1.5279999999999998E-3</v>
      </c>
      <c r="B7" s="49">
        <v>1.3029999999999999E-3</v>
      </c>
      <c r="C7" s="49">
        <v>1.5939999999999999E-3</v>
      </c>
      <c r="D7" s="49">
        <v>1.4050000000000002E-3</v>
      </c>
      <c r="E7" s="49">
        <v>1.6350000000000002E-3</v>
      </c>
    </row>
    <row r="8" spans="1:5" x14ac:dyDescent="0.2">
      <c r="A8" s="49">
        <v>2.0629999999999997E-3</v>
      </c>
      <c r="B8" s="49">
        <v>1.4940000000000001E-3</v>
      </c>
      <c r="C8" s="49">
        <v>1.2929999999999999E-3</v>
      </c>
      <c r="D8" s="49">
        <v>7.6099999999999996E-4</v>
      </c>
      <c r="E8" s="49">
        <v>1.356E-3</v>
      </c>
    </row>
    <row r="9" spans="1:5" x14ac:dyDescent="0.2">
      <c r="A9" s="49">
        <v>8.1500000000000008E-4</v>
      </c>
      <c r="B9" s="49">
        <v>7.3099999999999999E-4</v>
      </c>
      <c r="C9" s="49">
        <v>5.0700000000000007E-4</v>
      </c>
      <c r="D9" s="49">
        <v>4.9100000000000001E-4</v>
      </c>
      <c r="E9" s="49">
        <v>0</v>
      </c>
    </row>
    <row r="10" spans="1:5" x14ac:dyDescent="0.2">
      <c r="A10" s="49">
        <v>7.3899999999999997E-4</v>
      </c>
      <c r="B10" s="49">
        <v>6.6699999999999995E-4</v>
      </c>
      <c r="C10" s="49">
        <v>5.22E-4</v>
      </c>
      <c r="D10" s="49">
        <v>6.4800000000000014E-4</v>
      </c>
      <c r="E10" s="49">
        <v>4.8600000000000005E-4</v>
      </c>
    </row>
    <row r="11" spans="1:5" x14ac:dyDescent="0.2">
      <c r="A11" s="49">
        <v>8.9999999999999998E-4</v>
      </c>
      <c r="B11" s="49">
        <v>7.5100000000000004E-4</v>
      </c>
      <c r="C11" s="49">
        <v>8.5700000000000001E-4</v>
      </c>
      <c r="D11" s="49">
        <v>8.6600000000000002E-4</v>
      </c>
      <c r="E11" s="49">
        <v>6.87E-4</v>
      </c>
    </row>
    <row r="12" spans="1:5" x14ac:dyDescent="0.2">
      <c r="A12" s="49">
        <v>1.5609999999999999E-3</v>
      </c>
      <c r="B12" s="49">
        <v>1.5410000000000001E-3</v>
      </c>
      <c r="C12" s="49">
        <v>1.5020000000000001E-3</v>
      </c>
      <c r="D12" s="49">
        <v>1.423E-3</v>
      </c>
      <c r="E12" s="49">
        <v>1.5590000000000001E-3</v>
      </c>
    </row>
    <row r="13" spans="1:5" x14ac:dyDescent="0.2">
      <c r="A13" s="49">
        <v>2.1739999999999997E-3</v>
      </c>
      <c r="B13" s="49">
        <v>2.1619999999999999E-3</v>
      </c>
      <c r="C13" s="49">
        <v>2.1460000000000003E-3</v>
      </c>
      <c r="D13" s="49">
        <v>1.9350000000000001E-3</v>
      </c>
      <c r="E13" s="49">
        <v>2.1260000000000003E-3</v>
      </c>
    </row>
    <row r="14" spans="1:5" x14ac:dyDescent="0.2">
      <c r="A14" s="49">
        <v>7.4400000000000009E-4</v>
      </c>
      <c r="B14" s="49">
        <v>4.26E-4</v>
      </c>
      <c r="C14" s="49">
        <v>5.889999999999999E-4</v>
      </c>
      <c r="D14" s="49">
        <v>-2.1799999999999999E-4</v>
      </c>
      <c r="E14" s="49">
        <v>5.6700000000000001E-4</v>
      </c>
    </row>
    <row r="15" spans="1:5" x14ac:dyDescent="0.2">
      <c r="A15" s="49">
        <v>4.2199999999999996E-4</v>
      </c>
      <c r="B15" s="49">
        <v>4.26E-4</v>
      </c>
      <c r="C15" s="49">
        <v>4.6900000000000002E-4</v>
      </c>
      <c r="D15" s="49">
        <v>4.6999999999999999E-4</v>
      </c>
      <c r="E15" s="49">
        <v>4.5199999999999998E-4</v>
      </c>
    </row>
    <row r="16" spans="1:5" x14ac:dyDescent="0.2">
      <c r="A16" s="49">
        <v>1.044E-3</v>
      </c>
      <c r="B16" s="49">
        <v>8.7199999999999995E-4</v>
      </c>
      <c r="C16" s="49">
        <v>8.1400000000000005E-4</v>
      </c>
      <c r="D16" s="49">
        <v>7.4200000000000004E-4</v>
      </c>
      <c r="E16" s="49">
        <v>8.3800000000000009E-4</v>
      </c>
    </row>
    <row r="17" spans="1:5" x14ac:dyDescent="0.2">
      <c r="A17" s="49">
        <v>8.2399999999999997E-4</v>
      </c>
      <c r="B17" s="49">
        <v>7.3300000000000004E-4</v>
      </c>
      <c r="C17" s="49">
        <v>6.5799999999999995E-4</v>
      </c>
      <c r="D17" s="49">
        <v>5.8500000000000002E-4</v>
      </c>
      <c r="E17" s="49">
        <v>4.8799999999999994E-4</v>
      </c>
    </row>
    <row r="18" spans="1:5" x14ac:dyDescent="0.2">
      <c r="A18" s="49">
        <v>-1.1410000000000001E-3</v>
      </c>
      <c r="B18" s="49">
        <v>8.0000000000000007E-5</v>
      </c>
      <c r="C18" s="49">
        <v>5.7699999999999993E-4</v>
      </c>
      <c r="D18" s="49">
        <v>7.3700000000000002E-4</v>
      </c>
      <c r="E18" s="49">
        <v>4.6699999999999997E-4</v>
      </c>
    </row>
    <row r="19" spans="1:5" x14ac:dyDescent="0.2">
      <c r="A19" s="49">
        <v>3.9399999999999998E-4</v>
      </c>
      <c r="B19" s="49">
        <v>6.2100000000000002E-4</v>
      </c>
      <c r="C19" s="49">
        <v>5.5900000000000004E-4</v>
      </c>
      <c r="D19" s="49">
        <v>4.6799999999999994E-4</v>
      </c>
      <c r="E19" s="49">
        <v>3.9900000000000005E-4</v>
      </c>
    </row>
    <row r="20" spans="1:5" x14ac:dyDescent="0.2">
      <c r="A20" s="49">
        <v>1.5200000000000001E-4</v>
      </c>
      <c r="B20" s="49">
        <v>1.423E-3</v>
      </c>
      <c r="C20" s="49">
        <v>7.5999999999999993E-4</v>
      </c>
      <c r="D20" s="49">
        <v>3.3700000000000001E-4</v>
      </c>
      <c r="E20" s="49">
        <v>5.9000000000000003E-4</v>
      </c>
    </row>
    <row r="21" spans="1:5" x14ac:dyDescent="0.2">
      <c r="A21" s="49">
        <v>3.738E-3</v>
      </c>
      <c r="B21" s="49">
        <v>4.1029999999999999E-3</v>
      </c>
      <c r="C21" s="49">
        <v>3.2329999999999998E-3</v>
      </c>
      <c r="D21" s="49">
        <v>3.0559999999999997E-3</v>
      </c>
      <c r="E21" s="49">
        <v>3.1620000000000003E-3</v>
      </c>
    </row>
    <row r="22" spans="1:5" x14ac:dyDescent="0.2">
      <c r="A22" s="49">
        <v>1.8469999999999997E-3</v>
      </c>
      <c r="B22" s="49">
        <v>2.3120000000000003E-3</v>
      </c>
      <c r="C22" s="49">
        <v>2.281E-3</v>
      </c>
      <c r="D22" s="49">
        <v>2.1160000000000003E-3</v>
      </c>
      <c r="E22" s="49">
        <v>1.9510000000000003E-3</v>
      </c>
    </row>
    <row r="23" spans="1:5" x14ac:dyDescent="0.2">
      <c r="A23" s="49">
        <v>1.0809999999999999E-3</v>
      </c>
      <c r="B23" s="49">
        <v>1.8450000000000001E-3</v>
      </c>
      <c r="C23" s="49">
        <v>1.6149999999999997E-3</v>
      </c>
      <c r="D23" s="49">
        <v>1.5869999999999999E-3</v>
      </c>
      <c r="E23" s="49">
        <v>1.5240000000000002E-3</v>
      </c>
    </row>
    <row r="24" spans="1:5" x14ac:dyDescent="0.2">
      <c r="A24" s="49">
        <v>4.1799999999999997E-4</v>
      </c>
      <c r="B24" s="49">
        <v>3.8299999999999999E-4</v>
      </c>
      <c r="C24" s="49">
        <v>4.55E-4</v>
      </c>
      <c r="D24" s="49">
        <v>4.1799999999999997E-4</v>
      </c>
      <c r="E24" s="49">
        <v>2.6800000000000001E-4</v>
      </c>
    </row>
    <row r="25" spans="1:5" x14ac:dyDescent="0.2">
      <c r="A25" s="49">
        <v>6.0400000000000004E-4</v>
      </c>
      <c r="B25" s="49">
        <v>6.5299999999999993E-4</v>
      </c>
      <c r="C25" s="49">
        <v>6.9500000000000009E-4</v>
      </c>
      <c r="D25" s="49">
        <v>6.4400000000000004E-4</v>
      </c>
      <c r="E25" s="49">
        <v>6.0300000000000002E-4</v>
      </c>
    </row>
    <row r="26" spans="1:5" x14ac:dyDescent="0.2">
      <c r="A26" s="49">
        <v>1.1999999999999999E-3</v>
      </c>
      <c r="B26" s="49">
        <v>1.2099999999999999E-3</v>
      </c>
      <c r="C26" s="49">
        <v>1.5970000000000001E-3</v>
      </c>
      <c r="D26" s="49">
        <v>4.4999999999999999E-4</v>
      </c>
      <c r="E26" s="49">
        <v>1.2160000000000001E-3</v>
      </c>
    </row>
    <row r="27" spans="1:5" x14ac:dyDescent="0.2">
      <c r="A27" s="49">
        <v>1.139E-3</v>
      </c>
      <c r="B27" s="49">
        <v>1.121E-3</v>
      </c>
      <c r="C27" s="49">
        <v>1.1310000000000001E-3</v>
      </c>
      <c r="D27" s="49">
        <v>9.5700000000000006E-4</v>
      </c>
      <c r="E27" s="49">
        <v>8.6200000000000003E-4</v>
      </c>
    </row>
    <row r="28" spans="1:5" x14ac:dyDescent="0.2">
      <c r="A28" s="49">
        <v>2.7500000000000002E-4</v>
      </c>
      <c r="B28" s="49">
        <v>6.78E-4</v>
      </c>
      <c r="C28" s="49">
        <v>1.1250000000000001E-3</v>
      </c>
      <c r="D28" s="49">
        <v>1.0119999999999999E-3</v>
      </c>
      <c r="E28" s="49">
        <v>4.6300000000000003E-4</v>
      </c>
    </row>
    <row r="29" spans="1:5" x14ac:dyDescent="0.2">
      <c r="A29" s="49">
        <v>2.5760000000000002E-3</v>
      </c>
      <c r="B29" s="49">
        <v>2.5629999999999997E-3</v>
      </c>
      <c r="C29" s="49">
        <v>2.9380000000000001E-3</v>
      </c>
      <c r="D29" s="49">
        <v>2.49E-3</v>
      </c>
      <c r="E29" s="49">
        <v>2.8710000000000003E-3</v>
      </c>
    </row>
    <row r="30" spans="1:5" x14ac:dyDescent="0.2">
      <c r="A30" s="49">
        <v>-1.6799999999999999E-2</v>
      </c>
      <c r="B30" s="49">
        <v>-1.2E-2</v>
      </c>
      <c r="C30" s="49">
        <v>-6.6000000000000005E-5</v>
      </c>
      <c r="D30" s="49">
        <v>6.4299999999999991E-4</v>
      </c>
      <c r="E30" s="49">
        <v>-1E-4</v>
      </c>
    </row>
    <row r="31" spans="1:5" x14ac:dyDescent="0.2">
      <c r="A31" s="49">
        <v>1.0400000000000001E-3</v>
      </c>
      <c r="B31" s="49">
        <v>7.9900000000000001E-4</v>
      </c>
      <c r="C31" s="49">
        <v>1.0039999999999999E-3</v>
      </c>
      <c r="D31" s="49">
        <v>8.1699999999999991E-4</v>
      </c>
      <c r="E31" s="49">
        <v>1.1230000000000001E-3</v>
      </c>
    </row>
    <row r="32" spans="1:5" x14ac:dyDescent="0.2">
      <c r="A32" s="49">
        <v>1.4599999999999999E-3</v>
      </c>
      <c r="B32" s="49">
        <v>1.7110000000000001E-3</v>
      </c>
      <c r="C32" s="49">
        <v>1.9239999999999999E-3</v>
      </c>
      <c r="D32" s="49">
        <v>1.8510000000000002E-3</v>
      </c>
      <c r="E32" s="49">
        <v>2.3909999999999999E-3</v>
      </c>
    </row>
    <row r="33" spans="1:5" x14ac:dyDescent="0.2">
      <c r="A33" s="49">
        <v>1.026E-3</v>
      </c>
      <c r="B33" s="49">
        <v>1.0279999999999998E-3</v>
      </c>
      <c r="C33" s="49">
        <v>1.333E-3</v>
      </c>
      <c r="D33" s="49">
        <v>1.1640000000000001E-3</v>
      </c>
      <c r="E33" s="49">
        <v>1.281E-3</v>
      </c>
    </row>
    <row r="34" spans="1:5" x14ac:dyDescent="0.2">
      <c r="A34" s="49">
        <v>8.8499999999999994E-4</v>
      </c>
      <c r="B34" s="49">
        <v>4.8700000000000002E-4</v>
      </c>
      <c r="C34" s="49">
        <v>3.4200000000000002E-4</v>
      </c>
      <c r="D34" s="49">
        <v>1.6000000000000001E-4</v>
      </c>
      <c r="E34" s="49">
        <v>7.3899999999999997E-4</v>
      </c>
    </row>
    <row r="35" spans="1:5" x14ac:dyDescent="0.2">
      <c r="A35" s="49">
        <v>2.02E-4</v>
      </c>
      <c r="B35" s="49">
        <v>3.2200000000000002E-4</v>
      </c>
      <c r="C35" s="49">
        <v>3.6400000000000001E-4</v>
      </c>
      <c r="D35" s="49">
        <v>2.9500000000000001E-4</v>
      </c>
      <c r="E35" s="49">
        <v>3.9100000000000002E-4</v>
      </c>
    </row>
    <row r="36" spans="1:5" x14ac:dyDescent="0.2">
      <c r="A36" s="49">
        <v>6.9200000000000002E-4</v>
      </c>
      <c r="B36" s="49">
        <v>6.0700000000000001E-4</v>
      </c>
      <c r="C36" s="49">
        <v>5.1599999999999997E-4</v>
      </c>
      <c r="D36" s="49">
        <v>5.1900000000000004E-4</v>
      </c>
      <c r="E36" s="49">
        <v>3.4700000000000003E-4</v>
      </c>
    </row>
    <row r="37" spans="1:5" x14ac:dyDescent="0.2">
      <c r="A37" s="49">
        <v>8.9600000000000009E-4</v>
      </c>
      <c r="B37" s="49">
        <v>8.9600000000000009E-4</v>
      </c>
      <c r="C37" s="49">
        <v>1.17E-3</v>
      </c>
      <c r="D37" s="49">
        <v>1.4019999999999998E-3</v>
      </c>
      <c r="E37" s="49">
        <v>1.1779999999999998E-3</v>
      </c>
    </row>
    <row r="38" spans="1:5" x14ac:dyDescent="0.2">
      <c r="A38" s="49">
        <v>-1.6799999999999999E-2</v>
      </c>
      <c r="B38" s="49">
        <v>-1.2E-2</v>
      </c>
      <c r="C38" s="49">
        <v>-6.6000000000000005E-5</v>
      </c>
      <c r="D38" s="49">
        <v>6.4299999999999991E-4</v>
      </c>
      <c r="E38" s="49">
        <v>-1E-4</v>
      </c>
    </row>
    <row r="39" spans="1:5" x14ac:dyDescent="0.2">
      <c r="A39" s="49">
        <v>2.2440000000000003E-3</v>
      </c>
      <c r="B39" s="49">
        <v>2.2910000000000001E-3</v>
      </c>
      <c r="C39" s="49">
        <v>2.3110000000000001E-3</v>
      </c>
      <c r="D39" s="49">
        <v>2.0829999999999998E-3</v>
      </c>
      <c r="E39" s="49">
        <v>2.0370000000000002E-3</v>
      </c>
    </row>
    <row r="40" spans="1:5" x14ac:dyDescent="0.2">
      <c r="A40" s="49">
        <v>1.3980000000000002E-3</v>
      </c>
      <c r="B40" s="49">
        <v>2.565E-3</v>
      </c>
      <c r="C40" s="49">
        <v>5.8850000000000005E-3</v>
      </c>
      <c r="D40" s="49">
        <v>5.4359999999999999E-3</v>
      </c>
      <c r="E40" s="49">
        <v>3.0200000000000001E-3</v>
      </c>
    </row>
    <row r="41" spans="1:5" x14ac:dyDescent="0.2">
      <c r="A41" s="49">
        <v>1.057E-3</v>
      </c>
      <c r="B41" s="49">
        <v>6.1799999999999995E-4</v>
      </c>
      <c r="C41" s="49">
        <v>1.0939999999999999E-3</v>
      </c>
      <c r="D41" s="49">
        <v>1.387E-3</v>
      </c>
      <c r="E41" s="49">
        <v>1.121E-3</v>
      </c>
    </row>
    <row r="42" spans="1:5" x14ac:dyDescent="0.2">
      <c r="A42" s="49">
        <v>1.1119999999999999E-3</v>
      </c>
      <c r="B42" s="49">
        <v>1.0580000000000001E-3</v>
      </c>
      <c r="C42" s="49">
        <v>1.0140000000000001E-3</v>
      </c>
      <c r="D42" s="49">
        <v>5.2499999999999997E-4</v>
      </c>
      <c r="E42" s="49">
        <v>1.0619999999999998E-3</v>
      </c>
    </row>
    <row r="43" spans="1:5" x14ac:dyDescent="0.2">
      <c r="A43" s="49">
        <v>1.157E-3</v>
      </c>
      <c r="B43" s="49">
        <v>1.4060000000000001E-3</v>
      </c>
      <c r="C43" s="49">
        <v>1.7670000000000003E-3</v>
      </c>
      <c r="D43" s="49">
        <v>1.3369999999999999E-3</v>
      </c>
      <c r="E43" s="49">
        <v>9.2200000000000008E-4</v>
      </c>
    </row>
    <row r="44" spans="1:5" x14ac:dyDescent="0.2">
      <c r="A44" s="49">
        <v>1.2260000000000001E-3</v>
      </c>
      <c r="B44" s="49">
        <v>1.3309999999999999E-3</v>
      </c>
      <c r="C44" s="49">
        <v>1.6200000000000001E-3</v>
      </c>
      <c r="D44" s="49">
        <v>1.6070000000000001E-3</v>
      </c>
      <c r="E44" s="49">
        <v>8.9700000000000001E-4</v>
      </c>
    </row>
    <row r="45" spans="1:5" x14ac:dyDescent="0.2">
      <c r="A45" s="49">
        <v>7.2199999999999999E-4</v>
      </c>
      <c r="B45" s="49">
        <v>4.73E-4</v>
      </c>
      <c r="C45" s="49">
        <v>4.6600000000000005E-4</v>
      </c>
      <c r="D45" s="49">
        <v>5.4299999999999997E-4</v>
      </c>
      <c r="E45" s="49">
        <v>7.0699999999999995E-4</v>
      </c>
    </row>
    <row r="46" spans="1:5" x14ac:dyDescent="0.2">
      <c r="A46" s="49">
        <v>6.4199999999999988E-4</v>
      </c>
      <c r="B46" s="49">
        <v>3.2799999999999995E-4</v>
      </c>
      <c r="C46" s="49">
        <v>7.7699999999999991E-4</v>
      </c>
      <c r="D46" s="49">
        <v>1.7899999999999999E-4</v>
      </c>
      <c r="E46" s="49">
        <v>7.6099999999999996E-4</v>
      </c>
    </row>
    <row r="47" spans="1:5" x14ac:dyDescent="0.2">
      <c r="A47" s="49">
        <v>4.4929999999999996E-3</v>
      </c>
      <c r="B47" s="49">
        <v>4.2520000000000006E-3</v>
      </c>
      <c r="C47" s="49">
        <v>3.0790000000000001E-3</v>
      </c>
      <c r="D47" s="49">
        <v>2.0399999999999997E-3</v>
      </c>
      <c r="E47" s="49">
        <v>2.3569999999999997E-3</v>
      </c>
    </row>
    <row r="48" spans="1:5" x14ac:dyDescent="0.2">
      <c r="A48" s="49">
        <v>2.261E-3</v>
      </c>
      <c r="B48" s="49">
        <v>2.5100000000000001E-3</v>
      </c>
      <c r="C48" s="49">
        <v>2.3379999999999998E-3</v>
      </c>
      <c r="D48" s="49">
        <v>2.1069999999999999E-3</v>
      </c>
      <c r="E48" s="49">
        <v>2.3E-3</v>
      </c>
    </row>
    <row r="49" spans="1:5" x14ac:dyDescent="0.2">
      <c r="A49" s="49">
        <v>1.604E-3</v>
      </c>
      <c r="B49" s="49">
        <v>1.6489999999999999E-3</v>
      </c>
      <c r="C49" s="49">
        <v>1.0169999999999999E-3</v>
      </c>
      <c r="D49" s="49">
        <v>8.5299999999999992E-4</v>
      </c>
      <c r="E49" s="49">
        <v>5.7899999999999998E-4</v>
      </c>
    </row>
    <row r="50" spans="1:5" x14ac:dyDescent="0.2">
      <c r="A50" s="49">
        <v>1.6570000000000001E-3</v>
      </c>
      <c r="B50" s="49">
        <v>1.5210000000000002E-3</v>
      </c>
      <c r="C50" s="49">
        <v>1.941E-3</v>
      </c>
      <c r="D50" s="49">
        <v>1.4730000000000001E-3</v>
      </c>
      <c r="E50" s="49">
        <v>1.333E-3</v>
      </c>
    </row>
    <row r="51" spans="1:5" x14ac:dyDescent="0.2">
      <c r="A51" s="49">
        <v>4.9800000000000007E-4</v>
      </c>
      <c r="B51" s="49">
        <v>5.0300000000000008E-4</v>
      </c>
      <c r="C51" s="49">
        <v>0</v>
      </c>
      <c r="D51" s="49">
        <v>6.1399999999999996E-4</v>
      </c>
      <c r="E51" s="49">
        <v>6.6500000000000001E-4</v>
      </c>
    </row>
    <row r="52" spans="1:5" x14ac:dyDescent="0.2">
      <c r="A52" s="49">
        <v>8.0000000000000004E-4</v>
      </c>
      <c r="B52" s="49">
        <v>6.29E-4</v>
      </c>
      <c r="C52" s="49">
        <v>1.328E-3</v>
      </c>
      <c r="D52" s="49">
        <v>8.8399999999999991E-4</v>
      </c>
      <c r="E52" s="49">
        <v>8.7699999999999996E-4</v>
      </c>
    </row>
    <row r="53" spans="1:5" x14ac:dyDescent="0.2">
      <c r="A53" s="49">
        <v>1.328E-3</v>
      </c>
      <c r="B53" s="49">
        <v>1.356E-3</v>
      </c>
      <c r="C53" s="49">
        <v>1.3140000000000001E-3</v>
      </c>
      <c r="D53" s="49">
        <v>1.189E-3</v>
      </c>
      <c r="E53" s="49">
        <v>1.1740000000000001E-3</v>
      </c>
    </row>
    <row r="54" spans="1:5" x14ac:dyDescent="0.2">
      <c r="A54" s="49">
        <v>2.8020000000000002E-3</v>
      </c>
      <c r="B54" s="49">
        <v>2.2200000000000002E-3</v>
      </c>
      <c r="C54" s="49">
        <v>2.7649999999999997E-3</v>
      </c>
      <c r="D54" s="49">
        <v>4.0360000000000005E-3</v>
      </c>
      <c r="E54" s="49">
        <v>4.2550000000000001E-3</v>
      </c>
    </row>
    <row r="55" spans="1:5" x14ac:dyDescent="0.2">
      <c r="A55" s="49">
        <v>2.032E-3</v>
      </c>
      <c r="B55" s="49">
        <v>8.9399999999999994E-4</v>
      </c>
      <c r="C55" s="49">
        <v>4.3799999999999997E-4</v>
      </c>
      <c r="D55" s="49">
        <v>1.825E-3</v>
      </c>
      <c r="E55" s="49">
        <v>2.6199999999999999E-3</v>
      </c>
    </row>
    <row r="56" spans="1:5" x14ac:dyDescent="0.2">
      <c r="A56" s="49">
        <v>1.1670000000000001E-3</v>
      </c>
      <c r="B56" s="49">
        <v>1.1429999999999999E-3</v>
      </c>
      <c r="C56" s="49">
        <v>1.2110000000000001E-3</v>
      </c>
      <c r="D56" s="49">
        <v>1.042E-3</v>
      </c>
      <c r="E56" s="49">
        <v>9.4899999999999997E-4</v>
      </c>
    </row>
    <row r="57" spans="1:5" x14ac:dyDescent="0.2">
      <c r="A57" s="49">
        <v>9.6600000000000006E-4</v>
      </c>
      <c r="B57" s="49">
        <v>1.2950000000000001E-3</v>
      </c>
      <c r="C57" s="49">
        <v>1.426E-3</v>
      </c>
      <c r="D57" s="49">
        <v>1.242E-3</v>
      </c>
      <c r="E57" s="49">
        <v>1.2740000000000002E-3</v>
      </c>
    </row>
    <row r="58" spans="1:5" x14ac:dyDescent="0.2">
      <c r="A58" s="49">
        <v>5.44E-4</v>
      </c>
      <c r="B58" s="49">
        <v>7.9299999999999998E-4</v>
      </c>
      <c r="C58" s="49">
        <v>7.980000000000001E-4</v>
      </c>
      <c r="D58" s="49">
        <v>1.0009999999999999E-3</v>
      </c>
      <c r="E58" s="49">
        <v>9.8499999999999998E-4</v>
      </c>
    </row>
    <row r="59" spans="1:5" x14ac:dyDescent="0.2">
      <c r="A59" s="49">
        <v>3.4169999999999999E-3</v>
      </c>
      <c r="B59" s="49">
        <v>2.758E-3</v>
      </c>
      <c r="C59" s="49">
        <v>7.0299999999999998E-3</v>
      </c>
      <c r="D59" s="49">
        <v>2.3969999999999998E-3</v>
      </c>
      <c r="E59" s="49">
        <v>1.09E-2</v>
      </c>
    </row>
    <row r="60" spans="1:5" x14ac:dyDescent="0.2">
      <c r="A60" s="49">
        <v>1.967E-3</v>
      </c>
      <c r="B60" s="49">
        <v>1.8440000000000002E-3</v>
      </c>
      <c r="C60" s="49">
        <v>1.7989999999999998E-3</v>
      </c>
      <c r="D60" s="49">
        <v>1.6429999999999999E-3</v>
      </c>
      <c r="E60" s="49">
        <v>1.49E-3</v>
      </c>
    </row>
    <row r="61" spans="1:5" x14ac:dyDescent="0.2">
      <c r="A61" s="49">
        <v>2.0010000000000002E-3</v>
      </c>
      <c r="B61" s="49">
        <v>1.8710000000000003E-3</v>
      </c>
      <c r="C61" s="49">
        <v>1.8879999999999999E-3</v>
      </c>
      <c r="D61" s="49">
        <v>2.477E-3</v>
      </c>
      <c r="E61" s="49">
        <v>1.815E-3</v>
      </c>
    </row>
    <row r="62" spans="1:5" x14ac:dyDescent="0.2">
      <c r="A62" s="49">
        <v>1.0119999999999999E-3</v>
      </c>
      <c r="B62" s="49">
        <v>1.054E-3</v>
      </c>
      <c r="C62" s="49">
        <v>9.1799999999999998E-4</v>
      </c>
      <c r="D62" s="49">
        <v>7.0999999999999991E-4</v>
      </c>
      <c r="E62" s="49">
        <v>1.1800000000000001E-3</v>
      </c>
    </row>
    <row r="63" spans="1:5" x14ac:dyDescent="0.2">
      <c r="A63" s="49">
        <v>-4.0899999999999997E-4</v>
      </c>
      <c r="B63" s="49">
        <v>-8.1999999999999987E-4</v>
      </c>
      <c r="C63" s="49">
        <v>5.071E-3</v>
      </c>
      <c r="D63" s="49">
        <v>2.075E-3</v>
      </c>
      <c r="E63" s="49">
        <v>9.7400000000000004E-4</v>
      </c>
    </row>
    <row r="64" spans="1:5" x14ac:dyDescent="0.2">
      <c r="A64" s="49">
        <v>4.2900000000000002E-4</v>
      </c>
      <c r="B64" s="49">
        <v>3.8699999999999997E-4</v>
      </c>
      <c r="C64" s="49">
        <v>1.1900000000000001E-3</v>
      </c>
      <c r="D64" s="49">
        <v>6.2399999999999999E-4</v>
      </c>
      <c r="E64" s="49">
        <v>5.6100000000000008E-4</v>
      </c>
    </row>
    <row r="65" spans="1:5" x14ac:dyDescent="0.2">
      <c r="A65" s="49">
        <v>5.4299999999999997E-4</v>
      </c>
      <c r="B65" s="49">
        <v>5.5199999999999997E-4</v>
      </c>
      <c r="C65" s="49">
        <v>7.3399999999999995E-4</v>
      </c>
      <c r="D65" s="49">
        <v>6.4999999999999997E-4</v>
      </c>
      <c r="E65" s="49">
        <v>0</v>
      </c>
    </row>
    <row r="66" spans="1:5" x14ac:dyDescent="0.2">
      <c r="A66" s="49">
        <v>1.9010000000000001E-3</v>
      </c>
      <c r="B66" s="49">
        <v>1.7460000000000002E-3</v>
      </c>
      <c r="C66" s="49">
        <v>3.5599999999999998E-4</v>
      </c>
      <c r="D66" s="49">
        <v>2.5499999999999996E-4</v>
      </c>
      <c r="E66" s="49">
        <v>-9.3399999999999993E-4</v>
      </c>
    </row>
    <row r="67" spans="1:5" x14ac:dyDescent="0.2">
      <c r="A67" s="49">
        <v>2.2339999999999999E-3</v>
      </c>
      <c r="B67" s="49">
        <v>1.7639999999999999E-3</v>
      </c>
      <c r="C67" s="49">
        <v>2.287E-3</v>
      </c>
      <c r="D67" s="49">
        <v>2.3289999999999999E-3</v>
      </c>
      <c r="E67" s="49">
        <v>2.6310000000000001E-3</v>
      </c>
    </row>
    <row r="68" spans="1:5" x14ac:dyDescent="0.2">
      <c r="A68" s="49">
        <v>3.3099999999999997E-4</v>
      </c>
      <c r="B68" s="49">
        <v>2.5599999999999999E-4</v>
      </c>
      <c r="C68" s="49">
        <v>3.4500000000000004E-4</v>
      </c>
      <c r="D68" s="49">
        <v>2.5799999999999998E-4</v>
      </c>
      <c r="E68" s="49">
        <v>2.2799999999999999E-4</v>
      </c>
    </row>
    <row r="69" spans="1:5" x14ac:dyDescent="0.2">
      <c r="A69" s="49">
        <v>1.668E-3</v>
      </c>
      <c r="B69" s="49">
        <v>1.7059999999999998E-3</v>
      </c>
      <c r="C69" s="49">
        <v>1.5020000000000001E-3</v>
      </c>
      <c r="D69" s="49">
        <v>9.0200000000000002E-4</v>
      </c>
      <c r="E69" s="49">
        <v>7.8799999999999996E-4</v>
      </c>
    </row>
    <row r="70" spans="1:5" x14ac:dyDescent="0.2">
      <c r="A70" s="49">
        <v>1.5939999999999999E-3</v>
      </c>
      <c r="B70" s="49">
        <v>1.572E-3</v>
      </c>
      <c r="C70" s="49">
        <v>1.49E-3</v>
      </c>
      <c r="D70" s="49">
        <v>1.5229999999999998E-3</v>
      </c>
      <c r="E70" s="49">
        <v>1.2880000000000001E-3</v>
      </c>
    </row>
    <row r="71" spans="1:5" x14ac:dyDescent="0.2">
      <c r="A71" s="49">
        <v>-5.3000000000000001E-5</v>
      </c>
      <c r="B71" s="49">
        <v>3.0699999999999998E-4</v>
      </c>
      <c r="C71" s="49">
        <v>8.43E-4</v>
      </c>
      <c r="D71" s="49">
        <v>3.48E-4</v>
      </c>
      <c r="E71" s="49">
        <v>8.1300000000000014E-4</v>
      </c>
    </row>
    <row r="72" spans="1:5" x14ac:dyDescent="0.2">
      <c r="A72" s="49">
        <v>7.1900000000000002E-4</v>
      </c>
      <c r="B72" s="49">
        <v>8.6400000000000008E-4</v>
      </c>
      <c r="C72" s="49">
        <v>1.263E-3</v>
      </c>
      <c r="D72" s="49">
        <v>1.1410000000000001E-3</v>
      </c>
      <c r="E72" s="49">
        <v>1.14E-3</v>
      </c>
    </row>
    <row r="73" spans="1:5" x14ac:dyDescent="0.2">
      <c r="A73" s="49">
        <v>5.4789999999999995E-3</v>
      </c>
      <c r="B73" s="49">
        <v>4.6680000000000003E-3</v>
      </c>
      <c r="C73" s="49">
        <v>5.5440000000000003E-3</v>
      </c>
      <c r="D73" s="49">
        <v>4.2590000000000006E-3</v>
      </c>
      <c r="E73" s="49">
        <v>2.2329999999999997E-3</v>
      </c>
    </row>
    <row r="74" spans="1:5" x14ac:dyDescent="0.2">
      <c r="A74" s="49">
        <v>1.5279999999999998E-3</v>
      </c>
      <c r="B74" s="49">
        <v>1.5640000000000001E-3</v>
      </c>
      <c r="C74" s="49">
        <v>1.534E-3</v>
      </c>
      <c r="D74" s="49">
        <v>1.2459999999999999E-3</v>
      </c>
      <c r="E74" s="49">
        <v>1.1279999999999999E-3</v>
      </c>
    </row>
    <row r="75" spans="1:5" x14ac:dyDescent="0.2">
      <c r="A75" s="49">
        <v>5.1500000000000005E-4</v>
      </c>
      <c r="B75" s="49">
        <v>4.2900000000000002E-4</v>
      </c>
      <c r="C75" s="49">
        <v>5.2099999999999998E-4</v>
      </c>
      <c r="D75" s="49">
        <v>6.7099999999999994E-4</v>
      </c>
      <c r="E75" s="49">
        <v>5.0000000000000001E-4</v>
      </c>
    </row>
    <row r="76" spans="1:5" x14ac:dyDescent="0.2">
      <c r="A76" s="49">
        <v>5.3300000000000005E-4</v>
      </c>
      <c r="B76" s="49">
        <v>5.6900000000000006E-4</v>
      </c>
      <c r="C76" s="49">
        <v>4.8700000000000002E-4</v>
      </c>
      <c r="D76" s="49">
        <v>5.1900000000000004E-4</v>
      </c>
      <c r="E76" s="49">
        <v>3.5299999999999996E-4</v>
      </c>
    </row>
    <row r="77" spans="1:5" x14ac:dyDescent="0.2">
      <c r="A77" s="49">
        <v>9.7899999999999984E-4</v>
      </c>
      <c r="B77" s="49">
        <v>8.2599999999999991E-4</v>
      </c>
      <c r="C77" s="49">
        <v>7.6900000000000015E-4</v>
      </c>
      <c r="D77" s="49">
        <v>4.3599999999999997E-4</v>
      </c>
      <c r="E77" s="49">
        <v>8.83E-4</v>
      </c>
    </row>
    <row r="78" spans="1:5" x14ac:dyDescent="0.2">
      <c r="A78" s="49">
        <v>1.836E-3</v>
      </c>
      <c r="B78" s="49">
        <v>2.0839999999999999E-3</v>
      </c>
      <c r="C78" s="49">
        <v>1.9710000000000001E-3</v>
      </c>
      <c r="D78" s="49">
        <v>1.433E-3</v>
      </c>
      <c r="E78" s="49">
        <v>1.3439999999999999E-3</v>
      </c>
    </row>
    <row r="79" spans="1:5" x14ac:dyDescent="0.2">
      <c r="A79" s="49">
        <v>3.7300000000000001E-4</v>
      </c>
      <c r="B79" s="49">
        <v>2.42E-4</v>
      </c>
      <c r="C79" s="49">
        <v>2.22E-4</v>
      </c>
      <c r="D79" s="49">
        <v>3.5299999999999996E-4</v>
      </c>
      <c r="E79" s="49">
        <v>4.2999999999999999E-4</v>
      </c>
    </row>
    <row r="80" spans="1:5" x14ac:dyDescent="0.2">
      <c r="A80" s="49">
        <v>1.8760000000000001E-3</v>
      </c>
      <c r="B80" s="49">
        <v>2.0479999999999999E-3</v>
      </c>
      <c r="C80" s="49">
        <v>2.032E-3</v>
      </c>
      <c r="D80" s="49">
        <v>2.1879999999999998E-3</v>
      </c>
      <c r="E80" s="49">
        <v>1.8410000000000002E-3</v>
      </c>
    </row>
    <row r="81" spans="1:5" x14ac:dyDescent="0.2">
      <c r="A81" s="49">
        <v>3.4700000000000003E-4</v>
      </c>
      <c r="B81" s="49">
        <v>5.0499999999999992E-4</v>
      </c>
      <c r="C81" s="49">
        <v>4.4500000000000003E-4</v>
      </c>
      <c r="D81" s="49">
        <v>3.6099999999999999E-4</v>
      </c>
      <c r="E81" s="49">
        <v>4.75E-4</v>
      </c>
    </row>
    <row r="82" spans="1:5" x14ac:dyDescent="0.2">
      <c r="A82" s="49">
        <v>1.3129999999999999E-3</v>
      </c>
      <c r="B82" s="49">
        <v>-3.6099999999999999E-4</v>
      </c>
      <c r="C82" s="49">
        <v>1.5770000000000001E-3</v>
      </c>
      <c r="D82" s="49">
        <v>1.454E-3</v>
      </c>
      <c r="E82" s="49">
        <v>8.2100000000000012E-4</v>
      </c>
    </row>
    <row r="83" spans="1:5" x14ac:dyDescent="0.2">
      <c r="A83" s="49">
        <v>4.0700000000000003E-4</v>
      </c>
      <c r="B83" s="49">
        <v>6.6799999999999997E-4</v>
      </c>
      <c r="C83" s="49">
        <v>5.9999999999999995E-4</v>
      </c>
      <c r="D83" s="49">
        <v>8.0800000000000002E-4</v>
      </c>
      <c r="E83" s="49">
        <v>4.5800000000000002E-4</v>
      </c>
    </row>
    <row r="84" spans="1:5" x14ac:dyDescent="0.2">
      <c r="A84" s="49">
        <v>1.6339999999999998E-3</v>
      </c>
      <c r="B84" s="49">
        <v>2.4030000000000002E-3</v>
      </c>
      <c r="C84" s="49">
        <v>1.194E-3</v>
      </c>
      <c r="D84" s="49">
        <v>1.867E-3</v>
      </c>
      <c r="E84" s="49">
        <v>2.441E-3</v>
      </c>
    </row>
    <row r="85" spans="1:5" x14ac:dyDescent="0.2">
      <c r="A85" s="49">
        <v>1.4980000000000002E-3</v>
      </c>
      <c r="B85" s="49">
        <v>-8.2999999999999998E-5</v>
      </c>
      <c r="C85" s="49">
        <v>2.183E-3</v>
      </c>
      <c r="D85" s="49">
        <v>2.7599999999999999E-4</v>
      </c>
      <c r="E85" s="49">
        <v>3.2200000000000002E-4</v>
      </c>
    </row>
    <row r="86" spans="1:5" x14ac:dyDescent="0.2">
      <c r="A86" s="49">
        <v>1.186E-3</v>
      </c>
      <c r="B86" s="49">
        <v>1.5659999999999999E-3</v>
      </c>
      <c r="C86" s="49">
        <v>1.936E-3</v>
      </c>
      <c r="D86" s="49">
        <v>2.5180000000000003E-3</v>
      </c>
      <c r="E86" s="49">
        <v>3.0859999999999998E-3</v>
      </c>
    </row>
    <row r="87" spans="1:5" x14ac:dyDescent="0.2">
      <c r="A87" s="49">
        <v>7.400000000000001E-4</v>
      </c>
      <c r="B87" s="49">
        <v>9.0200000000000002E-4</v>
      </c>
      <c r="C87" s="49">
        <v>8.9000000000000006E-4</v>
      </c>
      <c r="D87" s="49">
        <v>8.740000000000001E-4</v>
      </c>
      <c r="E87" s="49">
        <v>6.2100000000000002E-4</v>
      </c>
    </row>
    <row r="88" spans="1:5" x14ac:dyDescent="0.2">
      <c r="A88" s="49">
        <v>8.5900000000000006E-4</v>
      </c>
      <c r="B88" s="49">
        <v>9.2899999999999992E-4</v>
      </c>
      <c r="C88" s="49">
        <v>9.1E-4</v>
      </c>
      <c r="D88" s="49">
        <v>8.2200000000000014E-4</v>
      </c>
      <c r="E88" s="49">
        <v>9.2100000000000016E-4</v>
      </c>
    </row>
    <row r="89" spans="1:5" x14ac:dyDescent="0.2">
      <c r="A89" s="49">
        <v>1.8609999999999998E-3</v>
      </c>
      <c r="B89" s="49">
        <v>2.032E-3</v>
      </c>
      <c r="C89" s="49">
        <v>2.4139999999999999E-3</v>
      </c>
      <c r="D89" s="49">
        <v>3.1579999999999998E-3</v>
      </c>
      <c r="E89" s="49">
        <v>3.1849999999999999E-3</v>
      </c>
    </row>
    <row r="90" spans="1:5" x14ac:dyDescent="0.2">
      <c r="A90" s="49">
        <v>1.9380000000000001E-3</v>
      </c>
      <c r="B90" s="49">
        <v>2.359E-3</v>
      </c>
      <c r="C90" s="49">
        <v>1.794E-3</v>
      </c>
      <c r="D90" s="49">
        <v>9.0000000000000002E-6</v>
      </c>
      <c r="E90" s="49">
        <v>1.469E-3</v>
      </c>
    </row>
    <row r="91" spans="1:5" x14ac:dyDescent="0.2">
      <c r="A91" s="49">
        <v>-6.9000000000000008E-4</v>
      </c>
      <c r="B91" s="49">
        <v>1.0430000000000001E-3</v>
      </c>
      <c r="C91" s="49">
        <v>1.4010000000000001E-3</v>
      </c>
      <c r="D91" s="49">
        <v>1.2670000000000001E-3</v>
      </c>
      <c r="E91" s="49">
        <v>4.6500000000000008E-4</v>
      </c>
    </row>
    <row r="92" spans="1:5" x14ac:dyDescent="0.2">
      <c r="A92" s="49">
        <v>6.9200000000000002E-4</v>
      </c>
      <c r="B92" s="49">
        <v>-9.8400000000000007E-4</v>
      </c>
      <c r="C92" s="49">
        <v>1.7699999999999999E-3</v>
      </c>
      <c r="D92" s="49">
        <v>-1.9469999999999999E-3</v>
      </c>
      <c r="E92" s="49">
        <v>1.4859999999999999E-3</v>
      </c>
    </row>
    <row r="93" spans="1:5" x14ac:dyDescent="0.2">
      <c r="A93" s="49">
        <v>1.7350000000000002E-3</v>
      </c>
      <c r="B93" s="49">
        <v>1.714E-3</v>
      </c>
      <c r="C93" s="49">
        <v>2.2669999999999999E-3</v>
      </c>
      <c r="D93" s="49">
        <v>2.0460000000000001E-3</v>
      </c>
      <c r="E93" s="49">
        <v>1.7120000000000002E-3</v>
      </c>
    </row>
    <row r="94" spans="1:5" x14ac:dyDescent="0.2">
      <c r="A94" s="49">
        <v>1.616E-3</v>
      </c>
      <c r="B94" s="49">
        <v>1.6690000000000001E-3</v>
      </c>
      <c r="C94" s="49">
        <v>1.5170000000000001E-3</v>
      </c>
      <c r="D94" s="49">
        <v>1.225E-3</v>
      </c>
      <c r="E94" s="49">
        <v>2.8399999999999996E-4</v>
      </c>
    </row>
    <row r="95" spans="1:5" x14ac:dyDescent="0.2">
      <c r="A95" s="49">
        <v>1.887E-3</v>
      </c>
      <c r="B95" s="49">
        <v>1.7439999999999999E-3</v>
      </c>
      <c r="C95" s="49">
        <v>2.078E-3</v>
      </c>
      <c r="D95" s="49">
        <v>1.885E-3</v>
      </c>
      <c r="E95" s="49">
        <v>1.9620000000000002E-3</v>
      </c>
    </row>
    <row r="96" spans="1:5" x14ac:dyDescent="0.2">
      <c r="A96" s="49">
        <v>1.4980000000000002E-3</v>
      </c>
      <c r="B96" s="49">
        <v>1.17E-3</v>
      </c>
      <c r="C96" s="49">
        <v>1.2750000000000001E-3</v>
      </c>
      <c r="D96" s="49">
        <v>1.1429999999999999E-3</v>
      </c>
      <c r="E96" s="49">
        <v>1.1770000000000001E-3</v>
      </c>
    </row>
    <row r="97" spans="1:5" x14ac:dyDescent="0.2">
      <c r="A97" s="49">
        <v>-5.4949999999999999E-3</v>
      </c>
      <c r="B97" s="49">
        <v>2.9100000000000003E-4</v>
      </c>
      <c r="C97" s="49">
        <v>4.6799999999999994E-4</v>
      </c>
      <c r="D97" s="49">
        <v>2.6579999999999998E-3</v>
      </c>
      <c r="E97" s="49">
        <v>4.9100000000000001E-4</v>
      </c>
    </row>
    <row r="98" spans="1:5" x14ac:dyDescent="0.2">
      <c r="A98" s="49">
        <v>-1.0165E-2</v>
      </c>
      <c r="B98" s="49">
        <v>2.0280000000000003E-3</v>
      </c>
      <c r="C98" s="49">
        <v>2.8010000000000001E-3</v>
      </c>
      <c r="D98" s="49">
        <v>3.0480000000000004E-3</v>
      </c>
      <c r="E98" s="49">
        <v>3.3470000000000001E-3</v>
      </c>
    </row>
    <row r="99" spans="1:5" x14ac:dyDescent="0.2">
      <c r="A99" s="49">
        <v>8.8100000000000016E-4</v>
      </c>
      <c r="B99" s="49">
        <v>8.6400000000000008E-4</v>
      </c>
      <c r="C99" s="49">
        <v>1.026E-3</v>
      </c>
      <c r="D99" s="49">
        <v>6.78E-4</v>
      </c>
      <c r="E99" s="49">
        <v>2.1099999999999998E-4</v>
      </c>
    </row>
    <row r="100" spans="1:5" x14ac:dyDescent="0.2">
      <c r="A100" s="49">
        <v>9.3999999999999997E-4</v>
      </c>
      <c r="B100" s="49">
        <v>1.057E-3</v>
      </c>
      <c r="C100" s="49">
        <v>1.477E-3</v>
      </c>
      <c r="D100" s="49">
        <v>1.2570000000000001E-3</v>
      </c>
      <c r="E100" s="49">
        <v>1.121E-3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49"/>
  <sheetViews>
    <sheetView workbookViewId="0"/>
  </sheetViews>
  <sheetFormatPr baseColWidth="10" defaultColWidth="14.3984375" defaultRowHeight="15.75" customHeight="1" x14ac:dyDescent="0.2"/>
  <cols>
    <col min="1" max="1" width="40.59765625" customWidth="1"/>
  </cols>
  <sheetData>
    <row r="1" spans="1:14" x14ac:dyDescent="0.2">
      <c r="A1" s="51" t="s">
        <v>319</v>
      </c>
      <c r="B1" s="52" t="s">
        <v>320</v>
      </c>
      <c r="C1" s="52" t="s">
        <v>321</v>
      </c>
      <c r="D1" s="53" t="s">
        <v>322</v>
      </c>
      <c r="E1" s="53" t="s">
        <v>323</v>
      </c>
      <c r="F1" s="53" t="s">
        <v>324</v>
      </c>
      <c r="G1" s="53" t="s">
        <v>325</v>
      </c>
      <c r="H1" s="53" t="s">
        <v>326</v>
      </c>
      <c r="I1" s="53" t="s">
        <v>327</v>
      </c>
      <c r="J1" s="53" t="s">
        <v>328</v>
      </c>
      <c r="K1" s="53" t="s">
        <v>329</v>
      </c>
      <c r="L1" s="53" t="s">
        <v>330</v>
      </c>
      <c r="M1" s="53" t="s">
        <v>331</v>
      </c>
      <c r="N1" s="53" t="s">
        <v>332</v>
      </c>
    </row>
    <row r="2" spans="1:14" x14ac:dyDescent="0.2">
      <c r="A2" s="54" t="s">
        <v>333</v>
      </c>
      <c r="B2" s="55"/>
      <c r="C2" s="55"/>
      <c r="D2" s="56"/>
      <c r="E2" s="57"/>
      <c r="F2" s="57"/>
      <c r="G2" s="57"/>
      <c r="H2" s="57"/>
      <c r="I2" s="57"/>
      <c r="J2" s="57"/>
      <c r="K2" s="58"/>
      <c r="L2" s="57"/>
      <c r="M2" s="57"/>
      <c r="N2" s="57"/>
    </row>
    <row r="3" spans="1:14" x14ac:dyDescent="0.2">
      <c r="A3" s="59" t="s">
        <v>334</v>
      </c>
      <c r="B3" s="55"/>
      <c r="C3" s="55"/>
      <c r="D3" s="60"/>
      <c r="E3" s="57"/>
      <c r="F3" s="57"/>
      <c r="G3" s="57"/>
      <c r="H3" s="57"/>
      <c r="I3" s="57"/>
      <c r="J3" s="57"/>
      <c r="K3" s="58"/>
      <c r="L3" s="57"/>
      <c r="M3" s="57"/>
      <c r="N3" s="57"/>
    </row>
    <row r="4" spans="1:14" x14ac:dyDescent="0.2">
      <c r="A4" s="59" t="s">
        <v>335</v>
      </c>
      <c r="B4" s="55"/>
      <c r="C4" s="55"/>
      <c r="D4" s="60"/>
      <c r="E4" s="57"/>
      <c r="F4" s="57"/>
      <c r="G4" s="57"/>
      <c r="H4" s="57"/>
      <c r="I4" s="57"/>
      <c r="J4" s="57"/>
      <c r="K4" s="58"/>
      <c r="L4" s="57"/>
      <c r="M4" s="57"/>
      <c r="N4" s="57"/>
    </row>
    <row r="5" spans="1:14" x14ac:dyDescent="0.2">
      <c r="A5" s="59" t="s">
        <v>336</v>
      </c>
      <c r="B5" s="55"/>
      <c r="C5" s="55"/>
      <c r="D5" s="60"/>
      <c r="E5" s="57"/>
      <c r="F5" s="57"/>
      <c r="G5" s="57"/>
      <c r="H5" s="57"/>
      <c r="I5" s="57"/>
      <c r="J5" s="57"/>
      <c r="K5" s="58"/>
      <c r="L5" s="57"/>
      <c r="M5" s="57"/>
      <c r="N5" s="57"/>
    </row>
    <row r="6" spans="1:14" x14ac:dyDescent="0.2">
      <c r="A6" s="59" t="s">
        <v>337</v>
      </c>
      <c r="B6" s="55"/>
      <c r="C6" s="55"/>
      <c r="D6" s="60"/>
      <c r="E6" s="57"/>
      <c r="F6" s="57"/>
      <c r="G6" s="57"/>
      <c r="H6" s="57"/>
      <c r="I6" s="57"/>
      <c r="J6" s="57"/>
      <c r="K6" s="58"/>
      <c r="L6" s="57"/>
      <c r="M6" s="57"/>
      <c r="N6" s="57"/>
    </row>
    <row r="7" spans="1:14" x14ac:dyDescent="0.2">
      <c r="A7" s="59"/>
      <c r="B7" s="55"/>
      <c r="C7" s="55"/>
      <c r="D7" s="57"/>
      <c r="E7" s="57"/>
      <c r="F7" s="57"/>
      <c r="G7" s="57"/>
      <c r="H7" s="57"/>
      <c r="I7" s="57"/>
      <c r="J7" s="57"/>
      <c r="K7" s="58"/>
      <c r="L7" s="57"/>
      <c r="M7" s="57"/>
      <c r="N7" s="57"/>
    </row>
    <row r="8" spans="1:14" x14ac:dyDescent="0.2">
      <c r="A8" s="51" t="s">
        <v>319</v>
      </c>
      <c r="B8" s="61"/>
      <c r="C8" s="61"/>
      <c r="D8" s="61"/>
      <c r="E8" s="61"/>
      <c r="F8" s="61"/>
      <c r="G8" s="61"/>
      <c r="H8" s="61"/>
      <c r="I8" s="61"/>
      <c r="J8" s="61"/>
      <c r="K8" s="62"/>
      <c r="L8" s="61"/>
      <c r="M8" s="61"/>
      <c r="N8" s="61"/>
    </row>
    <row r="9" spans="1:14" x14ac:dyDescent="0.2">
      <c r="A9" s="54" t="s">
        <v>338</v>
      </c>
      <c r="B9" s="55"/>
      <c r="C9" s="55"/>
      <c r="D9" s="57"/>
      <c r="E9" s="56"/>
      <c r="F9" s="57"/>
      <c r="G9" s="57"/>
      <c r="H9" s="57"/>
      <c r="I9" s="57"/>
      <c r="J9" s="57"/>
      <c r="K9" s="58"/>
      <c r="L9" s="57"/>
      <c r="M9" s="57"/>
      <c r="N9" s="57"/>
    </row>
    <row r="10" spans="1:14" x14ac:dyDescent="0.2">
      <c r="A10" s="59" t="s">
        <v>339</v>
      </c>
      <c r="B10" s="55"/>
      <c r="C10" s="55"/>
      <c r="D10" s="57"/>
      <c r="E10" s="60"/>
      <c r="F10" s="57"/>
      <c r="G10" s="57"/>
      <c r="H10" s="57"/>
      <c r="I10" s="57"/>
      <c r="J10" s="57"/>
      <c r="K10" s="58"/>
      <c r="L10" s="57"/>
      <c r="M10" s="57"/>
      <c r="N10" s="57"/>
    </row>
    <row r="11" spans="1:14" x14ac:dyDescent="0.2">
      <c r="A11" s="59" t="s">
        <v>340</v>
      </c>
      <c r="B11" s="55"/>
      <c r="C11" s="55"/>
      <c r="D11" s="57"/>
      <c r="E11" s="60"/>
      <c r="F11" s="60"/>
      <c r="G11" s="57"/>
      <c r="H11" s="57"/>
      <c r="I11" s="57"/>
      <c r="J11" s="57"/>
      <c r="K11" s="58"/>
      <c r="L11" s="57"/>
      <c r="M11" s="57"/>
      <c r="N11" s="57"/>
    </row>
    <row r="12" spans="1:14" x14ac:dyDescent="0.2">
      <c r="A12" s="59" t="s">
        <v>341</v>
      </c>
      <c r="B12" s="55"/>
      <c r="C12" s="55"/>
      <c r="D12" s="57"/>
      <c r="E12" s="60"/>
      <c r="F12" s="60"/>
      <c r="G12" s="57"/>
      <c r="H12" s="57"/>
      <c r="I12" s="57"/>
      <c r="J12" s="57"/>
      <c r="K12" s="58"/>
      <c r="L12" s="57"/>
      <c r="M12" s="57"/>
      <c r="N12" s="57"/>
    </row>
    <row r="13" spans="1:14" x14ac:dyDescent="0.2">
      <c r="A13" s="59" t="s">
        <v>342</v>
      </c>
      <c r="B13" s="55"/>
      <c r="C13" s="55"/>
      <c r="D13" s="57"/>
      <c r="E13" s="60"/>
      <c r="F13" s="60"/>
      <c r="G13" s="57"/>
      <c r="H13" s="57"/>
      <c r="I13" s="57"/>
      <c r="J13" s="57"/>
      <c r="K13" s="58"/>
      <c r="L13" s="57"/>
      <c r="M13" s="57"/>
      <c r="N13" s="57"/>
    </row>
    <row r="14" spans="1:14" x14ac:dyDescent="0.2">
      <c r="A14" s="59" t="s">
        <v>343</v>
      </c>
      <c r="B14" s="55"/>
      <c r="C14" s="55"/>
      <c r="D14" s="57"/>
      <c r="E14" s="57"/>
      <c r="F14" s="60"/>
      <c r="G14" s="57"/>
      <c r="H14" s="57"/>
      <c r="I14" s="57"/>
      <c r="J14" s="57"/>
      <c r="K14" s="58"/>
      <c r="L14" s="57"/>
      <c r="M14" s="57"/>
      <c r="N14" s="57"/>
    </row>
    <row r="15" spans="1:14" x14ac:dyDescent="0.2">
      <c r="A15" s="59" t="s">
        <v>344</v>
      </c>
      <c r="B15" s="55"/>
      <c r="C15" s="55"/>
      <c r="D15" s="57"/>
      <c r="E15" s="57"/>
      <c r="F15" s="60"/>
      <c r="G15" s="57"/>
      <c r="H15" s="57"/>
      <c r="I15" s="57"/>
      <c r="J15" s="57"/>
      <c r="K15" s="58"/>
      <c r="L15" s="57"/>
      <c r="M15" s="57"/>
      <c r="N15" s="57"/>
    </row>
    <row r="16" spans="1:14" x14ac:dyDescent="0.2">
      <c r="A16" s="59" t="s">
        <v>345</v>
      </c>
      <c r="B16" s="55"/>
      <c r="C16" s="55"/>
      <c r="D16" s="57"/>
      <c r="E16" s="57"/>
      <c r="F16" s="60"/>
      <c r="G16" s="57"/>
      <c r="H16" s="57"/>
      <c r="I16" s="57"/>
      <c r="J16" s="57"/>
      <c r="K16" s="58"/>
      <c r="L16" s="57"/>
      <c r="M16" s="57"/>
      <c r="N16" s="57"/>
    </row>
    <row r="17" spans="1:14" x14ac:dyDescent="0.2">
      <c r="A17" s="51" t="s">
        <v>319</v>
      </c>
      <c r="B17" s="61"/>
      <c r="C17" s="61"/>
      <c r="D17" s="61"/>
      <c r="E17" s="61"/>
      <c r="F17" s="61"/>
      <c r="G17" s="61"/>
      <c r="H17" s="61"/>
      <c r="I17" s="61"/>
      <c r="J17" s="61"/>
      <c r="K17" s="62"/>
      <c r="L17" s="61"/>
      <c r="M17" s="61"/>
      <c r="N17" s="61"/>
    </row>
    <row r="18" spans="1:14" x14ac:dyDescent="0.2">
      <c r="A18" s="54" t="s">
        <v>346</v>
      </c>
      <c r="B18" s="55"/>
      <c r="C18" s="55"/>
      <c r="D18" s="57"/>
      <c r="E18" s="57"/>
      <c r="F18" s="57"/>
      <c r="G18" s="57"/>
      <c r="H18" s="57"/>
      <c r="I18" s="57"/>
      <c r="J18" s="57"/>
      <c r="K18" s="58"/>
      <c r="L18" s="57"/>
      <c r="M18" s="57"/>
      <c r="N18" s="57"/>
    </row>
    <row r="19" spans="1:14" x14ac:dyDescent="0.2">
      <c r="A19" s="59" t="s">
        <v>347</v>
      </c>
      <c r="B19" s="55"/>
      <c r="C19" s="55"/>
      <c r="D19" s="57"/>
      <c r="E19" s="60"/>
      <c r="F19" s="57"/>
      <c r="G19" s="57"/>
      <c r="H19" s="57"/>
      <c r="I19" s="57"/>
      <c r="J19" s="57"/>
      <c r="K19" s="58"/>
      <c r="L19" s="57"/>
      <c r="M19" s="57"/>
      <c r="N19" s="57"/>
    </row>
    <row r="20" spans="1:14" x14ac:dyDescent="0.2">
      <c r="A20" s="59" t="s">
        <v>348</v>
      </c>
      <c r="B20" s="55"/>
      <c r="C20" s="55"/>
      <c r="D20" s="57"/>
      <c r="E20" s="57"/>
      <c r="F20" s="60"/>
      <c r="G20" s="57"/>
      <c r="H20" s="57"/>
      <c r="I20" s="57"/>
      <c r="J20" s="57"/>
      <c r="K20" s="58"/>
      <c r="L20" s="57"/>
      <c r="M20" s="57"/>
      <c r="N20" s="57"/>
    </row>
    <row r="21" spans="1:14" x14ac:dyDescent="0.2">
      <c r="A21" s="59" t="s">
        <v>349</v>
      </c>
      <c r="B21" s="55"/>
      <c r="C21" s="55"/>
      <c r="D21" s="57"/>
      <c r="E21" s="57"/>
      <c r="F21" s="63"/>
      <c r="G21" s="63"/>
      <c r="H21" s="57"/>
      <c r="I21" s="57"/>
      <c r="J21" s="57"/>
      <c r="K21" s="58"/>
      <c r="L21" s="57"/>
      <c r="M21" s="57"/>
      <c r="N21" s="57"/>
    </row>
    <row r="22" spans="1:14" x14ac:dyDescent="0.2">
      <c r="A22" s="59" t="s">
        <v>350</v>
      </c>
      <c r="B22" s="55"/>
      <c r="C22" s="55"/>
      <c r="D22" s="57"/>
      <c r="E22" s="57"/>
      <c r="F22" s="57"/>
      <c r="G22" s="63"/>
      <c r="H22" s="57"/>
      <c r="I22" s="57"/>
      <c r="J22" s="57"/>
      <c r="K22" s="58"/>
      <c r="L22" s="57"/>
      <c r="M22" s="57"/>
      <c r="N22" s="57"/>
    </row>
    <row r="23" spans="1:14" x14ac:dyDescent="0.2">
      <c r="A23" s="59" t="s">
        <v>351</v>
      </c>
      <c r="B23" s="55"/>
      <c r="C23" s="55"/>
      <c r="D23" s="57"/>
      <c r="E23" s="57"/>
      <c r="F23" s="57"/>
      <c r="G23" s="57"/>
      <c r="H23" s="63"/>
      <c r="I23" s="57"/>
      <c r="J23" s="57"/>
      <c r="K23" s="58"/>
      <c r="L23" s="57"/>
      <c r="M23" s="57"/>
      <c r="N23" s="57"/>
    </row>
    <row r="24" spans="1:14" x14ac:dyDescent="0.2">
      <c r="A24" s="59" t="s">
        <v>337</v>
      </c>
      <c r="B24" s="55"/>
      <c r="C24" s="55"/>
      <c r="D24" s="57"/>
      <c r="E24" s="57"/>
      <c r="F24" s="57"/>
      <c r="G24" s="57"/>
      <c r="H24" s="63"/>
      <c r="I24" s="57"/>
      <c r="J24" s="57"/>
      <c r="K24" s="58"/>
      <c r="L24" s="57"/>
      <c r="M24" s="57"/>
      <c r="N24" s="57"/>
    </row>
    <row r="25" spans="1:14" x14ac:dyDescent="0.2">
      <c r="A25" s="51" t="s">
        <v>319</v>
      </c>
      <c r="B25" s="61"/>
      <c r="C25" s="61"/>
      <c r="D25" s="61"/>
      <c r="E25" s="61"/>
      <c r="F25" s="61"/>
      <c r="G25" s="61"/>
      <c r="H25" s="61"/>
      <c r="I25" s="61"/>
      <c r="J25" s="61"/>
      <c r="K25" s="62"/>
      <c r="L25" s="61"/>
      <c r="M25" s="61"/>
      <c r="N25" s="61"/>
    </row>
    <row r="26" spans="1:14" x14ac:dyDescent="0.2">
      <c r="A26" s="54" t="s">
        <v>352</v>
      </c>
      <c r="B26" s="55"/>
      <c r="C26" s="55"/>
      <c r="D26" s="57"/>
      <c r="E26" s="57"/>
      <c r="F26" s="57"/>
      <c r="G26" s="57"/>
      <c r="H26" s="57"/>
      <c r="I26" s="57"/>
      <c r="J26" s="57"/>
      <c r="K26" s="58"/>
      <c r="L26" s="57"/>
      <c r="M26" s="57"/>
      <c r="N26" s="57"/>
    </row>
    <row r="27" spans="1:14" x14ac:dyDescent="0.2">
      <c r="A27" s="59" t="s">
        <v>353</v>
      </c>
      <c r="B27" s="55"/>
      <c r="C27" s="55"/>
      <c r="D27" s="57"/>
      <c r="E27" s="57"/>
      <c r="F27" s="63"/>
      <c r="G27" s="63"/>
      <c r="H27" s="57"/>
      <c r="I27" s="57"/>
      <c r="J27" s="57"/>
      <c r="K27" s="58"/>
      <c r="L27" s="57"/>
      <c r="M27" s="57"/>
      <c r="N27" s="57"/>
    </row>
    <row r="28" spans="1:14" x14ac:dyDescent="0.2">
      <c r="A28" s="59" t="s">
        <v>354</v>
      </c>
      <c r="B28" s="55"/>
      <c r="C28" s="55"/>
      <c r="D28" s="57"/>
      <c r="E28" s="57"/>
      <c r="F28" s="63"/>
      <c r="G28" s="63"/>
      <c r="H28" s="57"/>
      <c r="I28" s="57"/>
      <c r="J28" s="57"/>
      <c r="K28" s="58"/>
      <c r="L28" s="57"/>
      <c r="M28" s="57"/>
      <c r="N28" s="57"/>
    </row>
    <row r="29" spans="1:14" x14ac:dyDescent="0.2">
      <c r="A29" s="59" t="s">
        <v>355</v>
      </c>
      <c r="B29" s="55"/>
      <c r="C29" s="55"/>
      <c r="D29" s="57"/>
      <c r="E29" s="57"/>
      <c r="F29" s="57"/>
      <c r="G29" s="57"/>
      <c r="H29" s="63"/>
      <c r="I29" s="57"/>
      <c r="J29" s="57"/>
      <c r="K29" s="58"/>
      <c r="L29" s="57"/>
      <c r="M29" s="57"/>
      <c r="N29" s="57"/>
    </row>
    <row r="30" spans="1:14" x14ac:dyDescent="0.2">
      <c r="A30" s="59" t="s">
        <v>356</v>
      </c>
      <c r="B30" s="55"/>
      <c r="C30" s="55"/>
      <c r="D30" s="57"/>
      <c r="E30" s="57"/>
      <c r="F30" s="57"/>
      <c r="G30" s="57"/>
      <c r="H30" s="64"/>
      <c r="I30" s="57"/>
      <c r="J30" s="57"/>
      <c r="K30" s="58"/>
      <c r="L30" s="57"/>
      <c r="M30" s="57"/>
      <c r="N30" s="57"/>
    </row>
    <row r="31" spans="1:14" x14ac:dyDescent="0.2">
      <c r="A31" s="51" t="s">
        <v>319</v>
      </c>
      <c r="B31" s="61"/>
      <c r="C31" s="61"/>
      <c r="D31" s="61"/>
      <c r="E31" s="61"/>
      <c r="F31" s="61"/>
      <c r="G31" s="61"/>
      <c r="H31" s="61"/>
      <c r="I31" s="61"/>
      <c r="J31" s="61"/>
      <c r="K31" s="62"/>
      <c r="L31" s="61"/>
      <c r="M31" s="61"/>
      <c r="N31" s="61"/>
    </row>
    <row r="32" spans="1:14" x14ac:dyDescent="0.2">
      <c r="A32" s="54" t="s">
        <v>357</v>
      </c>
      <c r="B32" s="55"/>
      <c r="C32" s="55"/>
      <c r="D32" s="57"/>
      <c r="E32" s="57"/>
      <c r="F32" s="57"/>
      <c r="G32" s="57"/>
      <c r="H32" s="57"/>
      <c r="I32" s="57"/>
      <c r="J32" s="57"/>
      <c r="K32" s="58"/>
      <c r="L32" s="57"/>
      <c r="M32" s="57"/>
      <c r="N32" s="57"/>
    </row>
    <row r="33" spans="1:14" x14ac:dyDescent="0.2">
      <c r="A33" s="59" t="s">
        <v>358</v>
      </c>
      <c r="B33" s="55"/>
      <c r="C33" s="55"/>
      <c r="D33" s="57"/>
      <c r="E33" s="57"/>
      <c r="F33" s="57"/>
      <c r="G33" s="57"/>
      <c r="H33" s="63"/>
      <c r="I33" s="63"/>
      <c r="J33" s="57"/>
      <c r="K33" s="58"/>
      <c r="L33" s="57"/>
      <c r="M33" s="57"/>
      <c r="N33" s="57"/>
    </row>
    <row r="34" spans="1:14" x14ac:dyDescent="0.2">
      <c r="A34" s="59" t="s">
        <v>359</v>
      </c>
      <c r="B34" s="55"/>
      <c r="C34" s="55"/>
      <c r="D34" s="57"/>
      <c r="E34" s="57"/>
      <c r="F34" s="57"/>
      <c r="G34" s="57"/>
      <c r="H34" s="57"/>
      <c r="I34" s="63"/>
      <c r="J34" s="63"/>
      <c r="K34" s="58"/>
      <c r="L34" s="57"/>
      <c r="M34" s="57"/>
      <c r="N34" s="57"/>
    </row>
    <row r="35" spans="1:14" x14ac:dyDescent="0.2">
      <c r="A35" s="59" t="s">
        <v>357</v>
      </c>
      <c r="B35" s="55"/>
      <c r="C35" s="55"/>
      <c r="D35" s="57"/>
      <c r="E35" s="57"/>
      <c r="F35" s="57"/>
      <c r="G35" s="57"/>
      <c r="H35" s="57"/>
      <c r="I35" s="57"/>
      <c r="J35" s="63"/>
      <c r="K35" s="58"/>
      <c r="L35" s="57"/>
      <c r="M35" s="57"/>
      <c r="N35" s="57"/>
    </row>
    <row r="36" spans="1:14" x14ac:dyDescent="0.2">
      <c r="A36" s="59" t="s">
        <v>356</v>
      </c>
      <c r="B36" s="55"/>
      <c r="C36" s="55"/>
      <c r="D36" s="57"/>
      <c r="E36" s="57"/>
      <c r="F36" s="57"/>
      <c r="G36" s="57"/>
      <c r="H36" s="57"/>
      <c r="I36" s="57"/>
      <c r="J36" s="64"/>
      <c r="K36" s="58"/>
      <c r="L36" s="57"/>
      <c r="M36" s="57"/>
      <c r="N36" s="57"/>
    </row>
    <row r="37" spans="1:14" x14ac:dyDescent="0.2">
      <c r="A37" s="51" t="s">
        <v>319</v>
      </c>
      <c r="B37" s="61"/>
      <c r="C37" s="61"/>
      <c r="D37" s="61"/>
      <c r="E37" s="61"/>
      <c r="F37" s="61"/>
      <c r="G37" s="61"/>
      <c r="H37" s="61"/>
      <c r="I37" s="61"/>
      <c r="J37" s="61"/>
      <c r="K37" s="62"/>
      <c r="L37" s="61"/>
      <c r="M37" s="61"/>
      <c r="N37" s="61"/>
    </row>
    <row r="38" spans="1:14" x14ac:dyDescent="0.2">
      <c r="A38" s="54" t="s">
        <v>360</v>
      </c>
      <c r="B38" s="55"/>
      <c r="C38" s="55"/>
      <c r="D38" s="57"/>
      <c r="E38" s="57"/>
      <c r="F38" s="57"/>
      <c r="G38" s="57"/>
      <c r="H38" s="57"/>
      <c r="I38" s="57"/>
      <c r="J38" s="57"/>
      <c r="K38" s="58"/>
      <c r="L38" s="57"/>
      <c r="M38" s="57"/>
      <c r="N38" s="57"/>
    </row>
    <row r="39" spans="1:14" x14ac:dyDescent="0.2">
      <c r="A39" s="59" t="s">
        <v>361</v>
      </c>
      <c r="B39" s="55"/>
      <c r="C39" s="55"/>
      <c r="D39" s="57"/>
      <c r="E39" s="57"/>
      <c r="F39" s="57"/>
      <c r="G39" s="57"/>
      <c r="H39" s="57"/>
      <c r="I39" s="57"/>
      <c r="J39" s="63"/>
      <c r="K39" s="58"/>
      <c r="L39" s="57"/>
      <c r="M39" s="57"/>
      <c r="N39" s="57"/>
    </row>
    <row r="40" spans="1:14" x14ac:dyDescent="0.2">
      <c r="A40" s="59" t="s">
        <v>362</v>
      </c>
      <c r="B40" s="55"/>
      <c r="C40" s="55"/>
      <c r="D40" s="57"/>
      <c r="E40" s="57"/>
      <c r="F40" s="57"/>
      <c r="G40" s="57"/>
      <c r="H40" s="57"/>
      <c r="I40" s="57"/>
      <c r="J40" s="57"/>
      <c r="K40" s="58"/>
      <c r="L40" s="63"/>
      <c r="M40" s="63"/>
      <c r="N40" s="57"/>
    </row>
    <row r="41" spans="1:14" x14ac:dyDescent="0.2">
      <c r="A41" s="59" t="s">
        <v>363</v>
      </c>
      <c r="B41" s="55"/>
      <c r="C41" s="55"/>
      <c r="D41" s="57"/>
      <c r="E41" s="57"/>
      <c r="F41" s="57"/>
      <c r="G41" s="57"/>
      <c r="H41" s="57"/>
      <c r="I41" s="57"/>
      <c r="J41" s="57"/>
      <c r="K41" s="58"/>
      <c r="L41" s="63"/>
      <c r="M41" s="63"/>
      <c r="N41" s="57"/>
    </row>
    <row r="42" spans="1:14" x14ac:dyDescent="0.2">
      <c r="A42" s="59" t="s">
        <v>364</v>
      </c>
      <c r="B42" s="55"/>
      <c r="C42" s="55"/>
      <c r="D42" s="57"/>
      <c r="E42" s="57"/>
      <c r="F42" s="57"/>
      <c r="G42" s="57"/>
      <c r="H42" s="57"/>
      <c r="I42" s="57"/>
      <c r="J42" s="57"/>
      <c r="K42" s="58"/>
      <c r="L42" s="57"/>
      <c r="M42" s="57"/>
      <c r="N42" s="64"/>
    </row>
    <row r="43" spans="1:14" x14ac:dyDescent="0.2">
      <c r="A43" s="59" t="s">
        <v>365</v>
      </c>
      <c r="B43" s="55"/>
      <c r="C43" s="55">
        <v>45305</v>
      </c>
      <c r="D43" s="57"/>
      <c r="E43" s="57"/>
      <c r="F43" s="57"/>
      <c r="G43" s="57"/>
      <c r="H43" s="57"/>
      <c r="I43" s="57"/>
      <c r="J43" s="57"/>
      <c r="K43" s="58"/>
      <c r="L43" s="57"/>
      <c r="M43" s="57"/>
      <c r="N43" s="64"/>
    </row>
    <row r="44" spans="1:14" x14ac:dyDescent="0.2">
      <c r="A44" s="51" t="s">
        <v>319</v>
      </c>
      <c r="B44" s="61"/>
      <c r="C44" s="61"/>
      <c r="D44" s="61"/>
      <c r="E44" s="61"/>
      <c r="F44" s="61"/>
      <c r="G44" s="61"/>
      <c r="H44" s="61"/>
      <c r="I44" s="61"/>
      <c r="J44" s="61"/>
      <c r="K44" s="62"/>
      <c r="L44" s="61"/>
      <c r="M44" s="61"/>
      <c r="N44" s="61"/>
    </row>
    <row r="45" spans="1:14" x14ac:dyDescent="0.2">
      <c r="A45" s="54" t="s">
        <v>366</v>
      </c>
      <c r="B45" s="55"/>
      <c r="C45" s="55"/>
      <c r="D45" s="57"/>
      <c r="E45" s="57"/>
      <c r="F45" s="57"/>
      <c r="G45" s="57"/>
      <c r="H45" s="57"/>
      <c r="I45" s="57"/>
      <c r="J45" s="57"/>
      <c r="K45" s="58"/>
      <c r="L45" s="57"/>
      <c r="M45" s="57"/>
      <c r="N45" s="57"/>
    </row>
    <row r="46" spans="1:14" x14ac:dyDescent="0.2">
      <c r="A46" s="59"/>
      <c r="B46" s="55"/>
      <c r="C46" s="55"/>
      <c r="D46" s="57"/>
      <c r="E46" s="57"/>
      <c r="F46" s="57"/>
      <c r="G46" s="57"/>
      <c r="H46" s="57"/>
      <c r="I46" s="57"/>
      <c r="J46" s="57"/>
      <c r="K46" s="58"/>
      <c r="L46" s="57"/>
      <c r="M46" s="57"/>
      <c r="N46" s="57"/>
    </row>
    <row r="47" spans="1:14" x14ac:dyDescent="0.2">
      <c r="A47" s="65" t="s">
        <v>337</v>
      </c>
      <c r="B47" s="55"/>
      <c r="C47" s="55">
        <v>45310</v>
      </c>
      <c r="D47" s="57"/>
      <c r="E47" s="57"/>
      <c r="F47" s="57"/>
      <c r="G47" s="57"/>
      <c r="H47" s="57"/>
      <c r="I47" s="57"/>
      <c r="J47" s="57"/>
      <c r="K47" s="58"/>
      <c r="L47" s="57"/>
      <c r="M47" s="57"/>
      <c r="N47" s="64"/>
    </row>
    <row r="48" spans="1:14" x14ac:dyDescent="0.2">
      <c r="A48" s="51" t="s">
        <v>319</v>
      </c>
      <c r="B48" s="61"/>
      <c r="C48" s="61"/>
      <c r="D48" s="61"/>
      <c r="E48" s="61"/>
      <c r="F48" s="61"/>
      <c r="G48" s="61"/>
      <c r="H48" s="61"/>
      <c r="I48" s="61"/>
      <c r="J48" s="61"/>
      <c r="K48" s="62"/>
      <c r="L48" s="61"/>
      <c r="M48" s="61"/>
      <c r="N48" s="61"/>
    </row>
    <row r="49" spans="1:14" x14ac:dyDescent="0.2">
      <c r="A49" s="54" t="s">
        <v>367</v>
      </c>
      <c r="B49" s="55"/>
      <c r="C49" s="55"/>
      <c r="D49" s="57"/>
      <c r="E49" s="57"/>
      <c r="F49" s="57"/>
      <c r="G49" s="57"/>
      <c r="H49" s="57"/>
      <c r="I49" s="57"/>
      <c r="J49" s="57"/>
      <c r="K49" s="58"/>
      <c r="L49" s="57"/>
      <c r="M49" s="57"/>
      <c r="N49"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D5:F9"/>
  <sheetViews>
    <sheetView workbookViewId="0"/>
  </sheetViews>
  <sheetFormatPr baseColWidth="10" defaultColWidth="14.3984375" defaultRowHeight="15.75" customHeight="1" x14ac:dyDescent="0.2"/>
  <sheetData>
    <row r="5" spans="4:6" x14ac:dyDescent="0.2">
      <c r="D5" s="49" t="s">
        <v>368</v>
      </c>
      <c r="E5" s="49" t="s">
        <v>369</v>
      </c>
      <c r="F5" s="49" t="s">
        <v>370</v>
      </c>
    </row>
    <row r="6" spans="4:6" x14ac:dyDescent="0.2">
      <c r="D6" s="49">
        <v>2020</v>
      </c>
      <c r="E6" s="49">
        <v>-8.0309999999999995E-4</v>
      </c>
      <c r="F6" s="49">
        <v>2.2523999999999999E-3</v>
      </c>
    </row>
    <row r="7" spans="4:6" x14ac:dyDescent="0.2">
      <c r="D7" s="49">
        <v>2021</v>
      </c>
      <c r="E7" s="49">
        <v>-4.4539999999999998E-4</v>
      </c>
      <c r="F7" s="49">
        <v>2.9760000000000002E-4</v>
      </c>
    </row>
    <row r="8" spans="4:6" x14ac:dyDescent="0.2">
      <c r="D8" s="49">
        <v>2022</v>
      </c>
      <c r="E8" s="49">
        <v>9.2464999999999995E-3</v>
      </c>
      <c r="F8" s="49">
        <v>7.6778999999999997E-3</v>
      </c>
    </row>
    <row r="9" spans="4:6" x14ac:dyDescent="0.2">
      <c r="D9" s="49">
        <v>2023</v>
      </c>
      <c r="E9" s="49">
        <v>5.3222E-3</v>
      </c>
      <c r="F9" s="49">
        <v>2.6963500000000001E-2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3984375" defaultRowHeight="15.75" customHeight="1" x14ac:dyDescent="0.2"/>
  <sheetData>
    <row r="1" spans="1:13" x14ac:dyDescent="0.2">
      <c r="A1" s="49" t="s">
        <v>0</v>
      </c>
      <c r="B1" s="49" t="s">
        <v>371</v>
      </c>
      <c r="C1" s="66" t="s">
        <v>372</v>
      </c>
      <c r="D1" s="49" t="s">
        <v>373</v>
      </c>
      <c r="E1" s="49" t="s">
        <v>374</v>
      </c>
      <c r="F1" s="49" t="s">
        <v>375</v>
      </c>
      <c r="G1" s="49" t="s">
        <v>376</v>
      </c>
      <c r="H1" s="67" t="s">
        <v>377</v>
      </c>
      <c r="I1" s="67" t="s">
        <v>378</v>
      </c>
      <c r="J1" s="67" t="s">
        <v>379</v>
      </c>
      <c r="K1" s="49" t="s">
        <v>380</v>
      </c>
      <c r="L1" s="49" t="s">
        <v>381</v>
      </c>
      <c r="M1" s="49" t="s">
        <v>382</v>
      </c>
    </row>
    <row r="2" spans="1:13" x14ac:dyDescent="0.2">
      <c r="A2" s="49" t="s">
        <v>65</v>
      </c>
      <c r="B2" s="49">
        <v>19</v>
      </c>
      <c r="C2" s="66">
        <v>0.114</v>
      </c>
      <c r="D2" s="49">
        <v>3</v>
      </c>
      <c r="E2" s="49">
        <v>0</v>
      </c>
      <c r="F2" s="49">
        <v>7.6</v>
      </c>
      <c r="G2" s="49">
        <v>28703000</v>
      </c>
      <c r="H2" s="67">
        <v>2114000</v>
      </c>
      <c r="I2" s="67">
        <v>22919000</v>
      </c>
      <c r="J2" s="67">
        <v>10337000</v>
      </c>
      <c r="K2" s="68">
        <f t="shared" ref="K2:K256" si="0">H2/J2</f>
        <v>0.20450807777885266</v>
      </c>
      <c r="L2" s="66">
        <f t="shared" ref="L2:L256" si="1">J2/I2</f>
        <v>0.45102316855011126</v>
      </c>
      <c r="M2" s="49">
        <v>0</v>
      </c>
    </row>
    <row r="3" spans="1:13" x14ac:dyDescent="0.2">
      <c r="A3" s="49" t="s">
        <v>65</v>
      </c>
      <c r="B3" s="49">
        <v>20</v>
      </c>
      <c r="C3" s="66">
        <v>0.08</v>
      </c>
      <c r="D3" s="49">
        <v>0.5</v>
      </c>
      <c r="E3" s="49">
        <v>0</v>
      </c>
      <c r="F3" s="49">
        <v>8.23</v>
      </c>
      <c r="G3" s="49">
        <v>28298000</v>
      </c>
      <c r="H3" s="67">
        <v>2103000</v>
      </c>
      <c r="I3" s="67">
        <v>22278000</v>
      </c>
      <c r="J3" s="67">
        <v>9699000</v>
      </c>
      <c r="K3" s="68">
        <f t="shared" si="0"/>
        <v>0.21682647695638727</v>
      </c>
      <c r="L3" s="66">
        <f t="shared" si="1"/>
        <v>0.43536224077565311</v>
      </c>
      <c r="M3" s="49">
        <v>0</v>
      </c>
    </row>
    <row r="4" spans="1:13" x14ac:dyDescent="0.2">
      <c r="A4" s="49" t="s">
        <v>65</v>
      </c>
      <c r="B4" s="49">
        <v>21</v>
      </c>
      <c r="C4" s="66">
        <v>0.08</v>
      </c>
      <c r="D4" s="49">
        <v>3.4</v>
      </c>
      <c r="E4" s="49">
        <v>0</v>
      </c>
      <c r="F4" s="49">
        <v>6.35</v>
      </c>
      <c r="G4" s="49">
        <v>35994000</v>
      </c>
      <c r="H4" s="67">
        <v>2270000</v>
      </c>
      <c r="I4" s="67">
        <v>27166000</v>
      </c>
      <c r="J4" s="67">
        <v>11783000</v>
      </c>
      <c r="K4" s="68">
        <f t="shared" si="0"/>
        <v>0.19265042858355258</v>
      </c>
      <c r="L4" s="66">
        <f t="shared" si="1"/>
        <v>0.43374070529338143</v>
      </c>
      <c r="M4" s="49">
        <v>0</v>
      </c>
    </row>
    <row r="5" spans="1:13" x14ac:dyDescent="0.2">
      <c r="A5" s="49" t="s">
        <v>65</v>
      </c>
      <c r="B5" s="49">
        <v>22</v>
      </c>
      <c r="C5" s="66">
        <v>0.09</v>
      </c>
      <c r="D5" s="49">
        <v>14</v>
      </c>
      <c r="E5" s="49">
        <v>0</v>
      </c>
      <c r="F5" s="49">
        <v>5.17</v>
      </c>
      <c r="G5" s="49">
        <v>50775000</v>
      </c>
      <c r="H5" s="67">
        <v>2538000</v>
      </c>
      <c r="I5" s="67">
        <v>33990000</v>
      </c>
      <c r="J5" s="67">
        <v>15036000</v>
      </c>
      <c r="K5" s="68">
        <f t="shared" si="0"/>
        <v>0.16879489225857941</v>
      </c>
      <c r="L5" s="66">
        <f t="shared" si="1"/>
        <v>0.44236540158870258</v>
      </c>
      <c r="M5" s="49">
        <v>0</v>
      </c>
    </row>
    <row r="6" spans="1:13" x14ac:dyDescent="0.2">
      <c r="A6" s="49" t="s">
        <v>65</v>
      </c>
      <c r="B6" s="49">
        <v>23</v>
      </c>
      <c r="C6" s="66">
        <v>0.1</v>
      </c>
      <c r="D6" s="49">
        <v>14.1</v>
      </c>
      <c r="E6" s="49">
        <v>0</v>
      </c>
      <c r="F6" s="49">
        <v>9.1199999999999992</v>
      </c>
      <c r="G6" s="49">
        <v>46201000</v>
      </c>
      <c r="H6" s="67">
        <v>2712000</v>
      </c>
      <c r="I6" s="67">
        <v>30551000</v>
      </c>
      <c r="J6" s="67">
        <v>17117000</v>
      </c>
      <c r="K6" s="68">
        <f t="shared" si="0"/>
        <v>0.1584389787930128</v>
      </c>
      <c r="L6" s="66">
        <f t="shared" si="1"/>
        <v>0.5602762593695787</v>
      </c>
      <c r="M6" s="49">
        <v>0</v>
      </c>
    </row>
    <row r="7" spans="1:13" x14ac:dyDescent="0.2">
      <c r="A7" s="49" t="s">
        <v>71</v>
      </c>
      <c r="B7" s="49">
        <v>19</v>
      </c>
      <c r="C7" s="66">
        <v>9.5000000000000001E-2</v>
      </c>
      <c r="D7" s="49">
        <v>3</v>
      </c>
      <c r="E7" s="49">
        <v>0</v>
      </c>
      <c r="F7" s="49">
        <v>7.35</v>
      </c>
      <c r="G7" s="49">
        <v>19823000</v>
      </c>
      <c r="H7" s="67">
        <v>11768000</v>
      </c>
      <c r="I7" s="67">
        <v>24375000</v>
      </c>
      <c r="J7" s="67">
        <v>9367000</v>
      </c>
      <c r="K7" s="68">
        <f t="shared" si="0"/>
        <v>1.2563253976726807</v>
      </c>
      <c r="L7" s="66">
        <f t="shared" si="1"/>
        <v>0.3842871794871795</v>
      </c>
      <c r="M7" s="49">
        <v>0</v>
      </c>
    </row>
    <row r="8" spans="1:13" x14ac:dyDescent="0.2">
      <c r="A8" s="49" t="s">
        <v>71</v>
      </c>
      <c r="B8" s="49">
        <v>20</v>
      </c>
      <c r="C8" s="66">
        <v>0.09</v>
      </c>
      <c r="D8" s="49">
        <v>0.5</v>
      </c>
      <c r="E8" s="49">
        <v>0</v>
      </c>
      <c r="F8" s="49">
        <v>9.2200000000000006</v>
      </c>
      <c r="G8" s="49">
        <v>19194000</v>
      </c>
      <c r="H8" s="67">
        <v>11460000</v>
      </c>
      <c r="I8" s="67">
        <v>23610000</v>
      </c>
      <c r="J8" s="67">
        <v>10096000</v>
      </c>
      <c r="K8" s="68">
        <f t="shared" si="0"/>
        <v>1.1351030110935023</v>
      </c>
      <c r="L8" s="66">
        <f t="shared" si="1"/>
        <v>0.42761541719610335</v>
      </c>
      <c r="M8" s="49">
        <v>0</v>
      </c>
    </row>
    <row r="9" spans="1:13" x14ac:dyDescent="0.2">
      <c r="A9" s="49" t="s">
        <v>71</v>
      </c>
      <c r="B9" s="49">
        <v>21</v>
      </c>
      <c r="C9" s="66">
        <v>0.09</v>
      </c>
      <c r="D9" s="49">
        <v>3.4</v>
      </c>
      <c r="E9" s="49">
        <v>0</v>
      </c>
      <c r="F9" s="49">
        <v>9.18</v>
      </c>
      <c r="G9" s="49">
        <v>20167000</v>
      </c>
      <c r="H9" s="67">
        <v>12814000</v>
      </c>
      <c r="I9" s="67">
        <v>25913000</v>
      </c>
      <c r="J9" s="67">
        <v>10992000</v>
      </c>
      <c r="K9" s="68">
        <f t="shared" si="0"/>
        <v>1.1657569141193596</v>
      </c>
      <c r="L9" s="66">
        <f t="shared" si="1"/>
        <v>0.42418863118897848</v>
      </c>
      <c r="M9" s="49">
        <v>0</v>
      </c>
    </row>
    <row r="10" spans="1:13" x14ac:dyDescent="0.2">
      <c r="A10" s="49" t="s">
        <v>71</v>
      </c>
      <c r="B10" s="49">
        <v>22</v>
      </c>
      <c r="C10" s="66">
        <v>0.11</v>
      </c>
      <c r="D10" s="49">
        <v>14</v>
      </c>
      <c r="E10" s="49">
        <v>0</v>
      </c>
      <c r="F10" s="49">
        <v>9.43</v>
      </c>
      <c r="G10" s="49">
        <v>23658000</v>
      </c>
      <c r="H10" s="67">
        <v>14431000</v>
      </c>
      <c r="I10" s="67">
        <v>27996000</v>
      </c>
      <c r="J10" s="67">
        <v>12176000</v>
      </c>
      <c r="K10" s="68">
        <f t="shared" si="0"/>
        <v>1.1852003942181339</v>
      </c>
      <c r="L10" s="66">
        <f t="shared" si="1"/>
        <v>0.43491927418202603</v>
      </c>
      <c r="M10" s="49">
        <v>0</v>
      </c>
    </row>
    <row r="11" spans="1:13" x14ac:dyDescent="0.2">
      <c r="A11" s="49" t="s">
        <v>71</v>
      </c>
      <c r="B11" s="49">
        <v>23</v>
      </c>
      <c r="C11" s="66">
        <v>0.125</v>
      </c>
      <c r="D11" s="49">
        <v>14.1</v>
      </c>
      <c r="E11" s="49">
        <v>0</v>
      </c>
      <c r="F11" s="49">
        <v>8.56</v>
      </c>
      <c r="G11" s="49">
        <v>26986000</v>
      </c>
      <c r="H11" s="67">
        <v>14778000</v>
      </c>
      <c r="I11" s="67">
        <v>28172000</v>
      </c>
      <c r="J11" s="67">
        <v>12453000</v>
      </c>
      <c r="K11" s="68">
        <f t="shared" si="0"/>
        <v>1.1867019995181884</v>
      </c>
      <c r="L11" s="66">
        <f t="shared" si="1"/>
        <v>0.44203464432770129</v>
      </c>
      <c r="M11" s="49">
        <v>0</v>
      </c>
    </row>
    <row r="12" spans="1:13" x14ac:dyDescent="0.2">
      <c r="A12" s="49" t="s">
        <v>91</v>
      </c>
      <c r="B12" s="49">
        <v>19</v>
      </c>
      <c r="C12" s="66">
        <v>8.3299999999999999E-2</v>
      </c>
      <c r="D12" s="49">
        <v>3</v>
      </c>
      <c r="E12" s="49">
        <v>0</v>
      </c>
      <c r="F12" s="49">
        <v>7.27</v>
      </c>
      <c r="G12" s="49">
        <v>5188672</v>
      </c>
      <c r="H12" s="67">
        <v>353246</v>
      </c>
      <c r="I12" s="67">
        <v>3852305</v>
      </c>
      <c r="J12" s="67">
        <v>2007735</v>
      </c>
      <c r="K12" s="68">
        <f t="shared" si="0"/>
        <v>0.17594254221797198</v>
      </c>
      <c r="L12" s="66">
        <f t="shared" si="1"/>
        <v>0.52117758069519415</v>
      </c>
      <c r="M12" s="49">
        <v>0</v>
      </c>
    </row>
    <row r="13" spans="1:13" x14ac:dyDescent="0.2">
      <c r="A13" s="49" t="s">
        <v>91</v>
      </c>
      <c r="B13" s="49">
        <v>20</v>
      </c>
      <c r="C13" s="66">
        <v>8.8300000000000003E-2</v>
      </c>
      <c r="D13" s="49">
        <v>0.5</v>
      </c>
      <c r="E13" s="49">
        <v>0</v>
      </c>
      <c r="F13" s="49">
        <v>9.06</v>
      </c>
      <c r="G13" s="49">
        <v>4953995</v>
      </c>
      <c r="H13" s="67">
        <v>330244</v>
      </c>
      <c r="I13" s="67">
        <v>3864463</v>
      </c>
      <c r="J13" s="67">
        <v>2181135</v>
      </c>
      <c r="K13" s="68">
        <f t="shared" si="0"/>
        <v>0.15140924335265812</v>
      </c>
      <c r="L13" s="66">
        <f t="shared" si="1"/>
        <v>0.56440830200729053</v>
      </c>
      <c r="M13" s="49">
        <v>0</v>
      </c>
    </row>
    <row r="14" spans="1:13" x14ac:dyDescent="0.2">
      <c r="A14" s="49" t="s">
        <v>91</v>
      </c>
      <c r="B14" s="49">
        <v>21</v>
      </c>
      <c r="C14" s="66">
        <v>8.8599999999999998E-2</v>
      </c>
      <c r="D14" s="49">
        <v>3.4</v>
      </c>
      <c r="E14" s="49">
        <v>0</v>
      </c>
      <c r="F14" s="49">
        <v>8.57</v>
      </c>
      <c r="G14" s="49">
        <v>5798000</v>
      </c>
      <c r="H14" s="67">
        <v>366000</v>
      </c>
      <c r="I14" s="67">
        <v>4699000</v>
      </c>
      <c r="J14" s="67">
        <v>2616000</v>
      </c>
      <c r="K14" s="68">
        <f t="shared" si="0"/>
        <v>0.13990825688073394</v>
      </c>
      <c r="L14" s="66">
        <f t="shared" si="1"/>
        <v>0.55671419450947013</v>
      </c>
      <c r="M14" s="49">
        <v>0</v>
      </c>
    </row>
    <row r="15" spans="1:13" x14ac:dyDescent="0.2">
      <c r="A15" s="49" t="s">
        <v>91</v>
      </c>
      <c r="B15" s="49">
        <v>22</v>
      </c>
      <c r="C15" s="66">
        <v>0.1</v>
      </c>
      <c r="D15" s="49">
        <v>14</v>
      </c>
      <c r="E15" s="49">
        <v>0</v>
      </c>
      <c r="F15" s="49">
        <v>7.51</v>
      </c>
      <c r="G15" s="49">
        <v>7315000</v>
      </c>
      <c r="H15" s="67">
        <v>395000</v>
      </c>
      <c r="I15" s="67">
        <v>5704000</v>
      </c>
      <c r="J15" s="67">
        <v>3164000</v>
      </c>
      <c r="K15" s="68">
        <f t="shared" si="0"/>
        <v>0.12484197218710492</v>
      </c>
      <c r="L15" s="66">
        <f t="shared" si="1"/>
        <v>0.55469845722300137</v>
      </c>
      <c r="M15" s="49">
        <v>0</v>
      </c>
    </row>
    <row r="16" spans="1:13" x14ac:dyDescent="0.2">
      <c r="A16" s="49" t="s">
        <v>91</v>
      </c>
      <c r="B16" s="49">
        <v>23</v>
      </c>
      <c r="C16" s="66">
        <v>0.1</v>
      </c>
      <c r="D16" s="49">
        <v>14.1</v>
      </c>
      <c r="E16" s="49">
        <v>0</v>
      </c>
      <c r="F16" s="49">
        <v>9</v>
      </c>
      <c r="G16" s="49">
        <v>9072000</v>
      </c>
      <c r="H16" s="67">
        <v>393000</v>
      </c>
      <c r="I16" s="67">
        <v>5960000</v>
      </c>
      <c r="J16" s="67">
        <v>3743000</v>
      </c>
      <c r="K16" s="68">
        <f t="shared" si="0"/>
        <v>0.10499599251936949</v>
      </c>
      <c r="L16" s="66">
        <f t="shared" si="1"/>
        <v>0.62802013422818792</v>
      </c>
      <c r="M16" s="49">
        <v>0</v>
      </c>
    </row>
    <row r="17" spans="1:13" x14ac:dyDescent="0.2">
      <c r="A17" s="49" t="s">
        <v>93</v>
      </c>
      <c r="B17" s="49">
        <v>19</v>
      </c>
      <c r="C17" s="66">
        <v>0.08</v>
      </c>
      <c r="D17" s="49">
        <v>3</v>
      </c>
      <c r="E17" s="49">
        <v>0</v>
      </c>
      <c r="F17" s="49">
        <v>15.59</v>
      </c>
      <c r="G17" s="49">
        <v>94227000</v>
      </c>
      <c r="H17" s="67">
        <v>57662000</v>
      </c>
      <c r="I17" s="67">
        <f>1.181*(10^8)</f>
        <v>118100000</v>
      </c>
      <c r="J17" s="67">
        <v>59143000</v>
      </c>
      <c r="K17" s="68">
        <f t="shared" si="0"/>
        <v>0.97495899768358052</v>
      </c>
      <c r="L17" s="66">
        <f t="shared" si="1"/>
        <v>0.50078746824724807</v>
      </c>
      <c r="M17" s="49">
        <v>0</v>
      </c>
    </row>
    <row r="18" spans="1:13" x14ac:dyDescent="0.2">
      <c r="A18" s="49" t="s">
        <v>93</v>
      </c>
      <c r="B18" s="49">
        <v>20</v>
      </c>
      <c r="C18" s="66">
        <v>0.08</v>
      </c>
      <c r="D18" s="49">
        <v>0.5</v>
      </c>
      <c r="E18" s="49">
        <v>0</v>
      </c>
      <c r="F18" s="49">
        <v>14.23</v>
      </c>
      <c r="G18" s="49">
        <v>89321000</v>
      </c>
      <c r="H18" s="67">
        <v>58344000</v>
      </c>
      <c r="I18" s="67">
        <f>1.174*(10^8)</f>
        <v>117400000</v>
      </c>
      <c r="J18" s="67">
        <v>58870000</v>
      </c>
      <c r="K18" s="68">
        <f t="shared" si="0"/>
        <v>0.99106505860370309</v>
      </c>
      <c r="L18" s="66">
        <f t="shared" si="1"/>
        <v>0.50144804088586026</v>
      </c>
      <c r="M18" s="49">
        <v>0</v>
      </c>
    </row>
    <row r="19" spans="1:13" x14ac:dyDescent="0.2">
      <c r="A19" s="49" t="s">
        <v>93</v>
      </c>
      <c r="B19" s="49">
        <v>21</v>
      </c>
      <c r="C19" s="66">
        <v>0.08</v>
      </c>
      <c r="D19" s="49">
        <v>3.4</v>
      </c>
      <c r="E19" s="49">
        <v>0</v>
      </c>
      <c r="F19" s="49">
        <v>15.02</v>
      </c>
      <c r="G19" s="49">
        <v>95026000</v>
      </c>
      <c r="H19" s="67">
        <v>62502000</v>
      </c>
      <c r="I19" s="67">
        <f>1.3*(10^8)</f>
        <v>130000000</v>
      </c>
      <c r="J19" s="67">
        <v>69582000</v>
      </c>
      <c r="K19" s="68">
        <f t="shared" si="0"/>
        <v>0.89824954729671469</v>
      </c>
      <c r="L19" s="66">
        <f t="shared" si="1"/>
        <v>0.53524615384615382</v>
      </c>
      <c r="M19" s="49">
        <v>0</v>
      </c>
    </row>
    <row r="20" spans="1:13" x14ac:dyDescent="0.2">
      <c r="A20" s="49" t="s">
        <v>93</v>
      </c>
      <c r="B20" s="49">
        <v>22</v>
      </c>
      <c r="C20" s="66">
        <v>0.08</v>
      </c>
      <c r="D20" s="49">
        <v>14</v>
      </c>
      <c r="E20" s="49">
        <v>0</v>
      </c>
      <c r="F20" s="49">
        <v>15.41</v>
      </c>
      <c r="G20" s="49" t="s">
        <v>383</v>
      </c>
      <c r="H20" s="67">
        <v>75873000</v>
      </c>
      <c r="I20" s="67">
        <f>1.54*(10^8)</f>
        <v>154000000</v>
      </c>
      <c r="J20" s="67">
        <v>86014000</v>
      </c>
      <c r="K20" s="68">
        <f t="shared" si="0"/>
        <v>0.88210058827632709</v>
      </c>
      <c r="L20" s="66">
        <f t="shared" si="1"/>
        <v>0.55853246753246755</v>
      </c>
      <c r="M20" s="49">
        <v>0</v>
      </c>
    </row>
    <row r="21" spans="1:13" x14ac:dyDescent="0.2">
      <c r="A21" s="49" t="s">
        <v>93</v>
      </c>
      <c r="B21" s="49">
        <v>23</v>
      </c>
      <c r="C21" s="66">
        <v>8.5000000000000006E-2</v>
      </c>
      <c r="D21" s="49">
        <v>14.1</v>
      </c>
      <c r="E21" s="49">
        <v>0</v>
      </c>
      <c r="F21" s="49">
        <v>16.010000000000002</v>
      </c>
      <c r="G21" s="49" t="s">
        <v>384</v>
      </c>
      <c r="H21" s="67">
        <v>92873000</v>
      </c>
      <c r="I21" s="67">
        <f>1.964*(10^8)</f>
        <v>196400000</v>
      </c>
      <c r="J21" s="67">
        <v>91629000</v>
      </c>
      <c r="K21" s="68">
        <f t="shared" si="0"/>
        <v>1.0135764877931659</v>
      </c>
      <c r="L21" s="66">
        <f t="shared" si="1"/>
        <v>0.46654276985743381</v>
      </c>
      <c r="M21" s="49">
        <v>0</v>
      </c>
    </row>
    <row r="22" spans="1:13" x14ac:dyDescent="0.2">
      <c r="A22" s="49" t="s">
        <v>69</v>
      </c>
      <c r="B22" s="49">
        <v>19</v>
      </c>
      <c r="C22" s="66">
        <v>0.11</v>
      </c>
      <c r="D22" s="49">
        <v>3</v>
      </c>
      <c r="E22" s="49">
        <v>0</v>
      </c>
      <c r="F22" s="49">
        <v>10.34</v>
      </c>
      <c r="G22" s="49">
        <v>11851000</v>
      </c>
      <c r="H22" s="67">
        <v>1997000</v>
      </c>
      <c r="I22" s="67">
        <v>8506000</v>
      </c>
      <c r="J22" s="67">
        <v>3018000</v>
      </c>
      <c r="K22" s="68">
        <f t="shared" si="0"/>
        <v>0.66169648774022527</v>
      </c>
      <c r="L22" s="66">
        <f t="shared" si="1"/>
        <v>0.35480837056195624</v>
      </c>
      <c r="M22" s="49">
        <v>0</v>
      </c>
    </row>
    <row r="23" spans="1:13" x14ac:dyDescent="0.2">
      <c r="A23" s="49" t="s">
        <v>69</v>
      </c>
      <c r="B23" s="49">
        <v>20</v>
      </c>
      <c r="C23" s="66">
        <v>0.11</v>
      </c>
      <c r="D23" s="49">
        <v>0.5</v>
      </c>
      <c r="E23" s="49">
        <v>0</v>
      </c>
      <c r="F23" s="49">
        <v>9.24</v>
      </c>
      <c r="G23" s="49">
        <v>11416000</v>
      </c>
      <c r="H23" s="67">
        <v>2727000</v>
      </c>
      <c r="I23" s="67">
        <v>9806000</v>
      </c>
      <c r="J23" s="67">
        <v>3219000</v>
      </c>
      <c r="K23" s="68">
        <f t="shared" si="0"/>
        <v>0.84715750232991616</v>
      </c>
      <c r="L23" s="66">
        <f t="shared" si="1"/>
        <v>0.32826840709769528</v>
      </c>
      <c r="M23" s="49">
        <v>0</v>
      </c>
    </row>
    <row r="24" spans="1:13" x14ac:dyDescent="0.2">
      <c r="A24" s="49" t="s">
        <v>69</v>
      </c>
      <c r="B24" s="49">
        <v>21</v>
      </c>
      <c r="C24" s="66">
        <v>0.13</v>
      </c>
      <c r="D24" s="49">
        <v>3.4</v>
      </c>
      <c r="E24" s="49">
        <v>0</v>
      </c>
      <c r="F24" s="49">
        <v>11.12</v>
      </c>
      <c r="G24" s="49">
        <v>14138000</v>
      </c>
      <c r="H24" s="67">
        <v>3306000</v>
      </c>
      <c r="I24" s="67">
        <v>12427000</v>
      </c>
      <c r="J24" s="67">
        <v>3931000</v>
      </c>
      <c r="K24" s="68">
        <f t="shared" si="0"/>
        <v>0.84100737725769525</v>
      </c>
      <c r="L24" s="66">
        <f t="shared" si="1"/>
        <v>0.31632735173412729</v>
      </c>
      <c r="M24" s="49">
        <v>0</v>
      </c>
    </row>
    <row r="25" spans="1:13" x14ac:dyDescent="0.2">
      <c r="A25" s="49" t="s">
        <v>69</v>
      </c>
      <c r="B25" s="49">
        <v>22</v>
      </c>
      <c r="C25" s="66">
        <v>0.13</v>
      </c>
      <c r="D25" s="49">
        <v>14</v>
      </c>
      <c r="E25" s="49">
        <v>0</v>
      </c>
      <c r="F25" s="49">
        <v>12.05</v>
      </c>
      <c r="G25" s="49">
        <v>18834000</v>
      </c>
      <c r="H25" s="67">
        <v>3935000</v>
      </c>
      <c r="I25" s="67">
        <v>15271000</v>
      </c>
      <c r="J25" s="67">
        <v>5184000</v>
      </c>
      <c r="K25" s="68">
        <f t="shared" si="0"/>
        <v>0.75906635802469136</v>
      </c>
      <c r="L25" s="66">
        <f t="shared" si="1"/>
        <v>0.33946696352563682</v>
      </c>
      <c r="M25" s="49">
        <v>0</v>
      </c>
    </row>
    <row r="26" spans="1:13" x14ac:dyDescent="0.2">
      <c r="A26" s="49" t="s">
        <v>69</v>
      </c>
      <c r="B26" s="49">
        <v>23</v>
      </c>
      <c r="C26" s="66">
        <v>0.13</v>
      </c>
      <c r="D26" s="49">
        <v>14.1</v>
      </c>
      <c r="E26" s="49">
        <v>0</v>
      </c>
      <c r="F26" s="49">
        <v>12.35</v>
      </c>
      <c r="G26" s="49">
        <v>20117000</v>
      </c>
      <c r="H26" s="67">
        <v>4716000</v>
      </c>
      <c r="I26" s="67">
        <v>16657000</v>
      </c>
      <c r="J26" s="67">
        <v>5974000</v>
      </c>
      <c r="K26" s="68">
        <f t="shared" si="0"/>
        <v>0.78942082356879817</v>
      </c>
      <c r="L26" s="66">
        <f t="shared" si="1"/>
        <v>0.35864801584919254</v>
      </c>
      <c r="M26" s="49">
        <v>0</v>
      </c>
    </row>
    <row r="27" spans="1:13" x14ac:dyDescent="0.2">
      <c r="A27" s="49" t="s">
        <v>73</v>
      </c>
      <c r="B27" s="49">
        <v>19</v>
      </c>
      <c r="C27" s="66">
        <v>8.3000000000000004E-2</v>
      </c>
      <c r="D27" s="49">
        <v>3</v>
      </c>
      <c r="E27" s="49">
        <v>0</v>
      </c>
      <c r="F27" s="49">
        <v>3.14</v>
      </c>
      <c r="G27" s="49" t="s">
        <v>385</v>
      </c>
      <c r="H27" s="67">
        <v>7071000</v>
      </c>
      <c r="I27" s="67">
        <f>1.068*(10^8)</f>
        <v>106800000</v>
      </c>
      <c r="J27" s="67">
        <v>22566000</v>
      </c>
      <c r="K27" s="68">
        <f t="shared" si="0"/>
        <v>0.31334751395905347</v>
      </c>
      <c r="L27" s="66">
        <f t="shared" si="1"/>
        <v>0.21129213483146067</v>
      </c>
      <c r="M27" s="49">
        <v>0</v>
      </c>
    </row>
    <row r="28" spans="1:13" x14ac:dyDescent="0.2">
      <c r="A28" s="49" t="s">
        <v>73</v>
      </c>
      <c r="B28" s="49">
        <v>20</v>
      </c>
      <c r="C28" s="66">
        <v>9.5000000000000001E-2</v>
      </c>
      <c r="D28" s="49">
        <v>0.5</v>
      </c>
      <c r="E28" s="49">
        <v>0</v>
      </c>
      <c r="F28" s="49">
        <v>5.05</v>
      </c>
      <c r="G28" s="49" t="s">
        <v>386</v>
      </c>
      <c r="H28" s="67">
        <v>6369000</v>
      </c>
      <c r="I28" s="67">
        <v>99604000</v>
      </c>
      <c r="J28" s="67">
        <v>18702000</v>
      </c>
      <c r="K28" s="68">
        <f t="shared" si="0"/>
        <v>0.34055181264035933</v>
      </c>
      <c r="L28" s="66">
        <f t="shared" si="1"/>
        <v>0.18776354363278583</v>
      </c>
      <c r="M28" s="49">
        <v>0</v>
      </c>
    </row>
    <row r="29" spans="1:13" x14ac:dyDescent="0.2">
      <c r="A29" s="49" t="s">
        <v>73</v>
      </c>
      <c r="B29" s="49">
        <v>21</v>
      </c>
      <c r="C29" s="66">
        <v>9.5000000000000001E-2</v>
      </c>
      <c r="D29" s="49">
        <v>3.4</v>
      </c>
      <c r="E29" s="49">
        <v>0</v>
      </c>
      <c r="F29" s="49">
        <v>5.45</v>
      </c>
      <c r="G29" s="49" t="s">
        <v>387</v>
      </c>
      <c r="H29" s="67">
        <v>6690000</v>
      </c>
      <c r="I29" s="67">
        <f>1.076*(10^8)</f>
        <v>107600000</v>
      </c>
      <c r="J29" s="67">
        <v>18604000</v>
      </c>
      <c r="K29" s="68">
        <f t="shared" si="0"/>
        <v>0.35960008600301008</v>
      </c>
      <c r="L29" s="66">
        <f t="shared" si="1"/>
        <v>0.1728996282527881</v>
      </c>
      <c r="M29" s="49">
        <v>0</v>
      </c>
    </row>
    <row r="30" spans="1:13" x14ac:dyDescent="0.2">
      <c r="A30" s="49" t="s">
        <v>73</v>
      </c>
      <c r="B30" s="49">
        <v>22</v>
      </c>
      <c r="C30" s="66">
        <v>0.106</v>
      </c>
      <c r="D30" s="49">
        <v>14</v>
      </c>
      <c r="E30" s="49">
        <v>0</v>
      </c>
      <c r="F30" s="49">
        <v>-7.0000000000000007E-2</v>
      </c>
      <c r="G30" s="49" t="s">
        <v>388</v>
      </c>
      <c r="H30" s="67">
        <v>7081000</v>
      </c>
      <c r="I30" s="67">
        <f>1.271*(10^8)</f>
        <v>127099999.99999999</v>
      </c>
      <c r="J30" s="67">
        <v>16443000</v>
      </c>
      <c r="K30" s="68">
        <f t="shared" si="0"/>
        <v>0.43063917776561456</v>
      </c>
      <c r="L30" s="66">
        <f t="shared" si="1"/>
        <v>0.12937057435090482</v>
      </c>
      <c r="M30" s="49">
        <v>0</v>
      </c>
    </row>
    <row r="31" spans="1:13" x14ac:dyDescent="0.2">
      <c r="A31" s="49" t="s">
        <v>73</v>
      </c>
      <c r="B31" s="49">
        <v>23</v>
      </c>
      <c r="C31" s="66">
        <v>0.14799999999999999</v>
      </c>
      <c r="D31" s="49">
        <v>14.1</v>
      </c>
      <c r="E31" s="49">
        <v>0</v>
      </c>
      <c r="F31" s="49">
        <v>-1.9</v>
      </c>
      <c r="G31" s="49" t="s">
        <v>389</v>
      </c>
      <c r="H31" s="67">
        <v>6579000</v>
      </c>
      <c r="I31" s="67">
        <f>1.201*(10^8)</f>
        <v>120100000</v>
      </c>
      <c r="J31" s="67">
        <v>11268000</v>
      </c>
      <c r="K31" s="68">
        <f t="shared" si="0"/>
        <v>0.58386581469648557</v>
      </c>
      <c r="L31" s="66">
        <f t="shared" si="1"/>
        <v>9.3821815154038299E-2</v>
      </c>
      <c r="M31" s="49">
        <v>0</v>
      </c>
    </row>
    <row r="32" spans="1:13" x14ac:dyDescent="0.2">
      <c r="A32" s="49" t="s">
        <v>75</v>
      </c>
      <c r="B32" s="49">
        <v>19</v>
      </c>
      <c r="C32" s="66">
        <v>0.1135</v>
      </c>
      <c r="D32" s="49">
        <v>3</v>
      </c>
      <c r="E32" s="49">
        <v>0</v>
      </c>
      <c r="F32" s="49">
        <v>11.26</v>
      </c>
      <c r="G32" s="49">
        <v>86285000</v>
      </c>
      <c r="H32" s="67">
        <v>11251000</v>
      </c>
      <c r="I32" s="67">
        <v>94108000</v>
      </c>
      <c r="J32" s="67">
        <v>35512000</v>
      </c>
      <c r="K32" s="68">
        <f t="shared" si="0"/>
        <v>0.31682248254111284</v>
      </c>
      <c r="L32" s="66">
        <f t="shared" si="1"/>
        <v>0.3773536787520721</v>
      </c>
      <c r="M32" s="49">
        <v>0</v>
      </c>
    </row>
    <row r="33" spans="1:13" x14ac:dyDescent="0.2">
      <c r="A33" s="49" t="s">
        <v>75</v>
      </c>
      <c r="B33" s="49">
        <v>20</v>
      </c>
      <c r="C33" s="66">
        <v>0.106</v>
      </c>
      <c r="D33" s="49">
        <v>0.5</v>
      </c>
      <c r="E33" s="49">
        <v>0</v>
      </c>
      <c r="F33" s="49">
        <v>9.5399999999999991</v>
      </c>
      <c r="G33" s="49">
        <v>75185000</v>
      </c>
      <c r="H33" s="67">
        <v>10117000</v>
      </c>
      <c r="I33" s="67">
        <v>90557000</v>
      </c>
      <c r="J33" s="67">
        <v>34309000</v>
      </c>
      <c r="K33" s="68">
        <f t="shared" si="0"/>
        <v>0.29487889475064849</v>
      </c>
      <c r="L33" s="66">
        <f t="shared" si="1"/>
        <v>0.37886634937111435</v>
      </c>
      <c r="M33" s="49">
        <v>0</v>
      </c>
    </row>
    <row r="34" spans="1:13" x14ac:dyDescent="0.2">
      <c r="A34" s="49" t="s">
        <v>75</v>
      </c>
      <c r="B34" s="49">
        <v>21</v>
      </c>
      <c r="C34" s="66">
        <v>9.4500000000000001E-2</v>
      </c>
      <c r="D34" s="49">
        <v>3.4</v>
      </c>
      <c r="E34" s="49">
        <v>0</v>
      </c>
      <c r="F34" s="49">
        <v>13.27</v>
      </c>
      <c r="G34" s="49">
        <v>82941000</v>
      </c>
      <c r="H34" s="67">
        <v>10924000</v>
      </c>
      <c r="I34" s="67">
        <v>99628000</v>
      </c>
      <c r="J34" s="67">
        <v>43645000</v>
      </c>
      <c r="K34" s="68">
        <f t="shared" si="0"/>
        <v>0.25029212968266695</v>
      </c>
      <c r="L34" s="66">
        <f t="shared" si="1"/>
        <v>0.43807965632151602</v>
      </c>
      <c r="M34" s="49">
        <v>0</v>
      </c>
    </row>
    <row r="35" spans="1:13" x14ac:dyDescent="0.2">
      <c r="A35" s="49" t="s">
        <v>75</v>
      </c>
      <c r="B35" s="49">
        <v>22</v>
      </c>
      <c r="C35" s="66">
        <v>0.106</v>
      </c>
      <c r="D35" s="49">
        <v>14</v>
      </c>
      <c r="E35" s="49">
        <v>0</v>
      </c>
      <c r="F35" s="49">
        <v>9.33</v>
      </c>
      <c r="G35" s="49">
        <v>98278000</v>
      </c>
      <c r="H35" s="67">
        <v>12351000</v>
      </c>
      <c r="I35" s="67">
        <f>1.109*(10^8)</f>
        <v>110900000</v>
      </c>
      <c r="J35" s="67">
        <v>51927000</v>
      </c>
      <c r="K35" s="68">
        <f t="shared" si="0"/>
        <v>0.23785313998497892</v>
      </c>
      <c r="L35" s="66">
        <f t="shared" si="1"/>
        <v>0.46823264201983772</v>
      </c>
      <c r="M35" s="49">
        <v>0</v>
      </c>
    </row>
    <row r="36" spans="1:13" x14ac:dyDescent="0.2">
      <c r="A36" s="49" t="s">
        <v>75</v>
      </c>
      <c r="B36" s="49">
        <v>23</v>
      </c>
      <c r="C36" s="66">
        <v>0.13</v>
      </c>
      <c r="D36" s="49">
        <v>14.1</v>
      </c>
      <c r="E36" s="49">
        <v>0</v>
      </c>
      <c r="F36" s="49">
        <v>11.26</v>
      </c>
      <c r="G36" s="49" t="s">
        <v>390</v>
      </c>
      <c r="H36" s="67">
        <v>11962000</v>
      </c>
      <c r="I36" s="67">
        <f>1.119*(10^8)</f>
        <v>111900000</v>
      </c>
      <c r="J36" s="67">
        <v>52743000</v>
      </c>
      <c r="K36" s="68">
        <f t="shared" si="0"/>
        <v>0.22679786891151432</v>
      </c>
      <c r="L36" s="66">
        <f t="shared" si="1"/>
        <v>0.47134048257372652</v>
      </c>
      <c r="M36" s="49">
        <v>0</v>
      </c>
    </row>
    <row r="37" spans="1:13" x14ac:dyDescent="0.2">
      <c r="A37" s="49" t="s">
        <v>77</v>
      </c>
      <c r="B37" s="49">
        <v>19</v>
      </c>
      <c r="C37" s="66">
        <v>0.1</v>
      </c>
      <c r="D37" s="49">
        <v>3</v>
      </c>
      <c r="E37" s="49">
        <v>0</v>
      </c>
      <c r="F37" s="49">
        <v>11.54</v>
      </c>
      <c r="G37" s="49" t="s">
        <v>391</v>
      </c>
      <c r="H37" s="67">
        <v>24135000</v>
      </c>
      <c r="I37" s="67">
        <f>5.248*(10^8)</f>
        <v>524800000</v>
      </c>
      <c r="J37" s="67">
        <f>1.417*(10^8)</f>
        <v>141700000</v>
      </c>
      <c r="K37" s="68">
        <f t="shared" si="0"/>
        <v>0.17032462949894142</v>
      </c>
      <c r="L37" s="66">
        <f t="shared" si="1"/>
        <v>0.27000762195121952</v>
      </c>
      <c r="M37" s="49">
        <v>0</v>
      </c>
    </row>
    <row r="38" spans="1:13" x14ac:dyDescent="0.2">
      <c r="A38" s="49" t="s">
        <v>77</v>
      </c>
      <c r="B38" s="49">
        <v>20</v>
      </c>
      <c r="C38" s="66">
        <v>0.1</v>
      </c>
      <c r="D38" s="49">
        <v>0.5</v>
      </c>
      <c r="E38" s="49">
        <v>0</v>
      </c>
      <c r="F38" s="49">
        <v>8.2100000000000009</v>
      </c>
      <c r="G38" s="49" t="s">
        <v>392</v>
      </c>
      <c r="H38" s="67">
        <v>22981000</v>
      </c>
      <c r="I38" s="67">
        <f>5.108*(10^8)</f>
        <v>510799999.99999994</v>
      </c>
      <c r="J38" s="67">
        <f>1.453*(10^8)</f>
        <v>145300000</v>
      </c>
      <c r="K38" s="68">
        <f t="shared" si="0"/>
        <v>0.15816242257398486</v>
      </c>
      <c r="L38" s="66">
        <f t="shared" si="1"/>
        <v>0.28445575567736886</v>
      </c>
      <c r="M38" s="49">
        <v>0</v>
      </c>
    </row>
    <row r="39" spans="1:13" x14ac:dyDescent="0.2">
      <c r="A39" s="49" t="s">
        <v>77</v>
      </c>
      <c r="B39" s="49">
        <v>21</v>
      </c>
      <c r="C39" s="66">
        <v>0.1</v>
      </c>
      <c r="D39" s="49">
        <v>3.4</v>
      </c>
      <c r="E39" s="49">
        <v>0</v>
      </c>
      <c r="F39" s="49">
        <v>12.32</v>
      </c>
      <c r="G39" s="49" t="s">
        <v>393</v>
      </c>
      <c r="H39" s="67">
        <v>23924000</v>
      </c>
      <c r="I39" s="67">
        <f>5.159*(10^8)</f>
        <v>515900000</v>
      </c>
      <c r="J39" s="67">
        <f>1.41*(10^8)</f>
        <v>141000000</v>
      </c>
      <c r="K39" s="68">
        <f t="shared" si="0"/>
        <v>0.16967375886524821</v>
      </c>
      <c r="L39" s="66">
        <f t="shared" si="1"/>
        <v>0.27330878077146736</v>
      </c>
      <c r="M39" s="49">
        <v>0</v>
      </c>
    </row>
    <row r="40" spans="1:13" x14ac:dyDescent="0.2">
      <c r="A40" s="49" t="s">
        <v>77</v>
      </c>
      <c r="B40" s="49">
        <v>22</v>
      </c>
      <c r="C40" s="66">
        <v>0.1</v>
      </c>
      <c r="D40" s="49">
        <v>14</v>
      </c>
      <c r="E40" s="49">
        <v>0</v>
      </c>
      <c r="F40" s="49">
        <v>10.27</v>
      </c>
      <c r="G40" s="49" t="s">
        <v>394</v>
      </c>
      <c r="H40" s="67">
        <v>25636000</v>
      </c>
      <c r="I40" s="67">
        <f>6.291*(10^8)</f>
        <v>629100000</v>
      </c>
      <c r="J40" s="67">
        <f>1.627*(10^8)</f>
        <v>162700000</v>
      </c>
      <c r="K40" s="68">
        <f t="shared" si="0"/>
        <v>0.1575660725261217</v>
      </c>
      <c r="L40" s="66">
        <f t="shared" si="1"/>
        <v>0.25862343029725005</v>
      </c>
      <c r="M40" s="49">
        <v>0</v>
      </c>
    </row>
    <row r="41" spans="1:13" x14ac:dyDescent="0.2">
      <c r="A41" s="49" t="s">
        <v>77</v>
      </c>
      <c r="B41" s="49">
        <v>23</v>
      </c>
      <c r="C41" s="66">
        <v>0.1</v>
      </c>
      <c r="D41" s="49">
        <v>14.1</v>
      </c>
      <c r="E41" s="49">
        <v>0</v>
      </c>
      <c r="F41" s="49">
        <v>12.57</v>
      </c>
      <c r="G41" s="49" t="s">
        <v>395</v>
      </c>
      <c r="H41" s="67">
        <v>24861000</v>
      </c>
      <c r="I41" s="67">
        <f>6.741*(10^8)</f>
        <v>674100000</v>
      </c>
      <c r="J41" s="67">
        <f>1.778*(10^8)</f>
        <v>177800000</v>
      </c>
      <c r="K41" s="68">
        <f t="shared" si="0"/>
        <v>0.13982564679415074</v>
      </c>
      <c r="L41" s="66">
        <f t="shared" si="1"/>
        <v>0.26375908618899274</v>
      </c>
      <c r="M41" s="49">
        <v>0</v>
      </c>
    </row>
    <row r="42" spans="1:13" x14ac:dyDescent="0.2">
      <c r="A42" s="49" t="s">
        <v>80</v>
      </c>
      <c r="B42" s="49">
        <v>19</v>
      </c>
      <c r="C42" s="66">
        <v>9.1899999999999996E-2</v>
      </c>
      <c r="D42" s="49">
        <v>3</v>
      </c>
      <c r="E42" s="49">
        <v>0</v>
      </c>
      <c r="F42" s="49">
        <v>16.350000000000001</v>
      </c>
      <c r="G42" s="49">
        <v>47711000</v>
      </c>
      <c r="H42" s="67">
        <v>21112000</v>
      </c>
      <c r="I42" s="67">
        <v>64396000</v>
      </c>
      <c r="J42" s="67">
        <v>27600000</v>
      </c>
      <c r="K42" s="68">
        <f t="shared" si="0"/>
        <v>0.76492753623188403</v>
      </c>
      <c r="L42" s="66">
        <f t="shared" si="1"/>
        <v>0.42859804956829617</v>
      </c>
      <c r="M42" s="49">
        <v>0</v>
      </c>
    </row>
    <row r="43" spans="1:13" x14ac:dyDescent="0.2">
      <c r="A43" s="49" t="s">
        <v>80</v>
      </c>
      <c r="B43" s="49">
        <v>20</v>
      </c>
      <c r="C43" s="66">
        <v>9.69E-2</v>
      </c>
      <c r="D43" s="49">
        <v>0.5</v>
      </c>
      <c r="E43" s="49">
        <v>360000</v>
      </c>
      <c r="F43" s="49">
        <v>14.05</v>
      </c>
      <c r="G43" s="49">
        <v>42309000</v>
      </c>
      <c r="H43" s="67">
        <v>19080000</v>
      </c>
      <c r="I43" s="67">
        <v>60860000</v>
      </c>
      <c r="J43" s="67">
        <v>28908000</v>
      </c>
      <c r="K43" s="68">
        <f t="shared" si="0"/>
        <v>0.66002490660024904</v>
      </c>
      <c r="L43" s="66">
        <f t="shared" si="1"/>
        <v>0.47499178442326651</v>
      </c>
      <c r="M43" s="49">
        <v>1</v>
      </c>
    </row>
    <row r="44" spans="1:13" x14ac:dyDescent="0.2">
      <c r="A44" s="49" t="s">
        <v>80</v>
      </c>
      <c r="B44" s="49">
        <v>21</v>
      </c>
      <c r="C44" s="66">
        <v>9.11E-2</v>
      </c>
      <c r="D44" s="49">
        <v>3.4</v>
      </c>
      <c r="E44" s="49">
        <v>0</v>
      </c>
      <c r="F44" s="49">
        <v>16.34</v>
      </c>
      <c r="G44" s="49">
        <v>41897000</v>
      </c>
      <c r="H44" s="67">
        <v>22480000</v>
      </c>
      <c r="I44" s="67">
        <v>64361000</v>
      </c>
      <c r="J44" s="67">
        <v>32096000</v>
      </c>
      <c r="K44" s="68">
        <f t="shared" si="0"/>
        <v>0.70039880358923234</v>
      </c>
      <c r="L44" s="66">
        <f t="shared" si="1"/>
        <v>0.498687093115396</v>
      </c>
      <c r="M44" s="49">
        <v>0</v>
      </c>
    </row>
    <row r="45" spans="1:13" x14ac:dyDescent="0.2">
      <c r="A45" s="49" t="s">
        <v>80</v>
      </c>
      <c r="B45" s="49">
        <v>22</v>
      </c>
      <c r="C45" s="66">
        <v>9.8599999999999993E-2</v>
      </c>
      <c r="D45" s="49">
        <v>14</v>
      </c>
      <c r="E45" s="49">
        <v>0</v>
      </c>
      <c r="F45" s="49">
        <v>13.03</v>
      </c>
      <c r="G45" s="49">
        <v>52955000</v>
      </c>
      <c r="H45" s="67">
        <v>26258000</v>
      </c>
      <c r="I45" s="67">
        <v>81249000</v>
      </c>
      <c r="J45" s="67">
        <v>35382000</v>
      </c>
      <c r="K45" s="68">
        <f t="shared" si="0"/>
        <v>0.74212876603922895</v>
      </c>
      <c r="L45" s="66">
        <f t="shared" si="1"/>
        <v>0.43547612893697152</v>
      </c>
      <c r="M45" s="49">
        <v>0</v>
      </c>
    </row>
    <row r="46" spans="1:13" x14ac:dyDescent="0.2">
      <c r="A46" s="49" t="s">
        <v>80</v>
      </c>
      <c r="B46" s="49">
        <v>23</v>
      </c>
      <c r="C46" s="66">
        <v>9.9699999999999997E-2</v>
      </c>
      <c r="D46" s="49">
        <v>14.1</v>
      </c>
      <c r="E46" s="49">
        <v>0</v>
      </c>
      <c r="F46" s="49">
        <v>15.28</v>
      </c>
      <c r="G46" s="49">
        <v>64582000</v>
      </c>
      <c r="H46" s="67">
        <v>25069000</v>
      </c>
      <c r="I46" s="67">
        <v>82288000</v>
      </c>
      <c r="J46" s="67">
        <v>37033000</v>
      </c>
      <c r="K46" s="68">
        <f t="shared" si="0"/>
        <v>0.676936786109686</v>
      </c>
      <c r="L46" s="66">
        <f t="shared" si="1"/>
        <v>0.45004131829671395</v>
      </c>
      <c r="M46" s="49">
        <v>0</v>
      </c>
    </row>
    <row r="47" spans="1:13" x14ac:dyDescent="0.2">
      <c r="A47" s="49" t="s">
        <v>83</v>
      </c>
      <c r="B47" s="49">
        <v>19</v>
      </c>
      <c r="C47" s="66">
        <v>8.5999999999999993E-2</v>
      </c>
      <c r="D47" s="49">
        <v>3</v>
      </c>
      <c r="E47" s="49">
        <v>0</v>
      </c>
      <c r="F47" s="49">
        <v>13.56</v>
      </c>
      <c r="G47" s="49">
        <v>4587400</v>
      </c>
      <c r="H47" s="67">
        <v>2366700</v>
      </c>
      <c r="I47" s="67">
        <v>6416900</v>
      </c>
      <c r="J47" s="67">
        <v>3684200</v>
      </c>
      <c r="K47" s="68">
        <f t="shared" si="0"/>
        <v>0.64239183540524403</v>
      </c>
      <c r="L47" s="66">
        <f t="shared" si="1"/>
        <v>0.57414016113699762</v>
      </c>
      <c r="M47" s="49">
        <v>0</v>
      </c>
    </row>
    <row r="48" spans="1:13" x14ac:dyDescent="0.2">
      <c r="A48" s="49" t="s">
        <v>83</v>
      </c>
      <c r="B48" s="49">
        <v>20</v>
      </c>
      <c r="C48" s="66">
        <v>9.0999999999999998E-2</v>
      </c>
      <c r="D48" s="49">
        <v>0.5</v>
      </c>
      <c r="E48" s="49">
        <v>0</v>
      </c>
      <c r="F48" s="49">
        <v>8.01</v>
      </c>
      <c r="G48" s="49">
        <v>3744400</v>
      </c>
      <c r="H48" s="67">
        <v>2260400</v>
      </c>
      <c r="I48" s="67">
        <v>5619400</v>
      </c>
      <c r="J48" s="67">
        <v>3527900</v>
      </c>
      <c r="K48" s="68">
        <f t="shared" si="0"/>
        <v>0.64072110887496814</v>
      </c>
      <c r="L48" s="66">
        <f t="shared" si="1"/>
        <v>0.62780723920703274</v>
      </c>
      <c r="M48" s="49">
        <v>0</v>
      </c>
    </row>
    <row r="49" spans="1:13" x14ac:dyDescent="0.2">
      <c r="A49" s="49" t="s">
        <v>83</v>
      </c>
      <c r="B49" s="49">
        <v>21</v>
      </c>
      <c r="C49" s="66">
        <v>6.8000000000000005E-2</v>
      </c>
      <c r="D49" s="49">
        <v>3.4</v>
      </c>
      <c r="E49" s="49">
        <v>0</v>
      </c>
      <c r="F49" s="49">
        <v>13.33</v>
      </c>
      <c r="G49" s="49">
        <v>3744300</v>
      </c>
      <c r="H49" s="67">
        <v>2362000</v>
      </c>
      <c r="I49" s="67">
        <v>5901700</v>
      </c>
      <c r="J49" s="67">
        <v>3840400</v>
      </c>
      <c r="K49" s="68">
        <f t="shared" si="0"/>
        <v>0.61504009998958442</v>
      </c>
      <c r="L49" s="66">
        <f t="shared" si="1"/>
        <v>0.65072775640917024</v>
      </c>
      <c r="M49" s="49">
        <v>0</v>
      </c>
    </row>
    <row r="50" spans="1:13" x14ac:dyDescent="0.2">
      <c r="A50" s="49" t="s">
        <v>83</v>
      </c>
      <c r="B50" s="49">
        <v>22</v>
      </c>
      <c r="C50" s="66">
        <v>9.2999999999999999E-2</v>
      </c>
      <c r="D50" s="49">
        <v>14</v>
      </c>
      <c r="E50" s="49">
        <v>0</v>
      </c>
      <c r="F50" s="49">
        <v>15.34</v>
      </c>
      <c r="G50" s="49">
        <v>4512000</v>
      </c>
      <c r="H50" s="67">
        <v>5950000</v>
      </c>
      <c r="I50" s="67">
        <v>14327000</v>
      </c>
      <c r="J50" s="67">
        <v>4377000</v>
      </c>
      <c r="K50" s="68">
        <f t="shared" si="0"/>
        <v>1.3593785697966643</v>
      </c>
      <c r="L50" s="66">
        <f t="shared" si="1"/>
        <v>0.30550708452572067</v>
      </c>
      <c r="M50" s="49">
        <v>0</v>
      </c>
    </row>
    <row r="51" spans="1:13" x14ac:dyDescent="0.2">
      <c r="A51" s="49" t="s">
        <v>83</v>
      </c>
      <c r="B51" s="49">
        <v>23</v>
      </c>
      <c r="C51" s="66">
        <v>9.4E-2</v>
      </c>
      <c r="D51" s="49">
        <v>14.1</v>
      </c>
      <c r="E51" s="49">
        <v>0</v>
      </c>
      <c r="F51" s="49">
        <v>21.03</v>
      </c>
      <c r="G51" s="49">
        <v>7166000</v>
      </c>
      <c r="H51" s="67">
        <v>5882000</v>
      </c>
      <c r="I51" s="67">
        <v>13683000</v>
      </c>
      <c r="J51" s="67">
        <v>6955000</v>
      </c>
      <c r="K51" s="68">
        <f t="shared" si="0"/>
        <v>0.84572250179726816</v>
      </c>
      <c r="L51" s="66">
        <f t="shared" si="1"/>
        <v>0.50829496455455669</v>
      </c>
      <c r="M51" s="49">
        <v>0</v>
      </c>
    </row>
    <row r="52" spans="1:13" x14ac:dyDescent="0.2">
      <c r="A52" s="49" t="s">
        <v>85</v>
      </c>
      <c r="B52" s="49">
        <v>19</v>
      </c>
      <c r="C52" s="66">
        <v>0.114</v>
      </c>
      <c r="D52" s="49">
        <v>3</v>
      </c>
      <c r="E52" s="49">
        <v>0</v>
      </c>
      <c r="F52" s="49">
        <v>0</v>
      </c>
      <c r="G52" s="49">
        <v>6139000</v>
      </c>
      <c r="H52" s="67">
        <v>553000</v>
      </c>
      <c r="I52" s="67">
        <v>5940000</v>
      </c>
      <c r="J52" s="67">
        <v>2869000</v>
      </c>
      <c r="K52" s="68">
        <f t="shared" si="0"/>
        <v>0.19275008713837574</v>
      </c>
      <c r="L52" s="66">
        <f t="shared" si="1"/>
        <v>0.48299663299663298</v>
      </c>
      <c r="M52" s="49">
        <v>0</v>
      </c>
    </row>
    <row r="53" spans="1:13" x14ac:dyDescent="0.2">
      <c r="A53" s="49" t="s">
        <v>85</v>
      </c>
      <c r="B53" s="49">
        <v>20</v>
      </c>
      <c r="C53" s="66">
        <v>0.11</v>
      </c>
      <c r="D53" s="49">
        <v>0.5</v>
      </c>
      <c r="E53" s="49">
        <v>0</v>
      </c>
      <c r="F53" s="49">
        <v>5.31</v>
      </c>
      <c r="G53" s="49">
        <v>6861000</v>
      </c>
      <c r="H53" s="67">
        <v>1603000</v>
      </c>
      <c r="I53" s="67">
        <v>7812000</v>
      </c>
      <c r="J53" s="67">
        <v>3037000</v>
      </c>
      <c r="K53" s="68">
        <f t="shared" si="0"/>
        <v>0.52782351004280537</v>
      </c>
      <c r="L53" s="66">
        <f t="shared" si="1"/>
        <v>0.38876088069636455</v>
      </c>
      <c r="M53" s="49">
        <v>0</v>
      </c>
    </row>
    <row r="54" spans="1:13" x14ac:dyDescent="0.2">
      <c r="A54" s="49" t="s">
        <v>85</v>
      </c>
      <c r="B54" s="49">
        <v>21</v>
      </c>
      <c r="C54" s="66">
        <v>0.11</v>
      </c>
      <c r="D54" s="49">
        <v>3.4</v>
      </c>
      <c r="E54" s="49">
        <v>0</v>
      </c>
      <c r="F54" s="49">
        <v>5.07</v>
      </c>
      <c r="G54" s="49">
        <v>8508000</v>
      </c>
      <c r="H54" s="67">
        <v>1461000</v>
      </c>
      <c r="I54" s="67">
        <v>8679000</v>
      </c>
      <c r="J54" s="67">
        <v>3429000</v>
      </c>
      <c r="K54" s="68">
        <f t="shared" si="0"/>
        <v>0.42607174103237094</v>
      </c>
      <c r="L54" s="66">
        <f t="shared" si="1"/>
        <v>0.39509160041479435</v>
      </c>
      <c r="M54" s="49">
        <v>0</v>
      </c>
    </row>
    <row r="55" spans="1:13" x14ac:dyDescent="0.2">
      <c r="A55" s="49" t="s">
        <v>85</v>
      </c>
      <c r="B55" s="49">
        <v>22</v>
      </c>
      <c r="C55" s="66">
        <v>0.08</v>
      </c>
      <c r="D55" s="49">
        <v>14</v>
      </c>
      <c r="E55" s="49">
        <v>0</v>
      </c>
      <c r="F55" s="49">
        <v>7.31</v>
      </c>
      <c r="G55" s="49">
        <v>9333000</v>
      </c>
      <c r="H55" s="67">
        <v>1561000</v>
      </c>
      <c r="I55" s="67">
        <v>8364000</v>
      </c>
      <c r="J55" s="67">
        <v>3408000</v>
      </c>
      <c r="K55" s="68">
        <f t="shared" si="0"/>
        <v>0.45803990610328638</v>
      </c>
      <c r="L55" s="66">
        <f t="shared" si="1"/>
        <v>0.40746054519368724</v>
      </c>
      <c r="M55" s="49">
        <v>0</v>
      </c>
    </row>
    <row r="56" spans="1:13" x14ac:dyDescent="0.2">
      <c r="A56" s="49" t="s">
        <v>85</v>
      </c>
      <c r="B56" s="49">
        <v>23</v>
      </c>
      <c r="C56" s="66">
        <v>0.08</v>
      </c>
      <c r="D56" s="49">
        <v>14.1</v>
      </c>
      <c r="E56" s="49">
        <v>0</v>
      </c>
      <c r="F56" s="49">
        <v>8.15</v>
      </c>
      <c r="G56" s="49">
        <v>9462000</v>
      </c>
      <c r="H56" s="67">
        <v>1640000</v>
      </c>
      <c r="I56" s="67">
        <v>8787000</v>
      </c>
      <c r="J56" s="67">
        <v>3613000</v>
      </c>
      <c r="K56" s="68">
        <f t="shared" si="0"/>
        <v>0.45391641295322449</v>
      </c>
      <c r="L56" s="66">
        <f t="shared" si="1"/>
        <v>0.41117560031865258</v>
      </c>
      <c r="M56" s="49">
        <v>0</v>
      </c>
    </row>
    <row r="57" spans="1:13" x14ac:dyDescent="0.2">
      <c r="A57" s="49" t="s">
        <v>88</v>
      </c>
      <c r="B57" s="49">
        <v>19</v>
      </c>
      <c r="C57" s="66">
        <v>9.0999999999999998E-2</v>
      </c>
      <c r="D57" s="49">
        <v>3</v>
      </c>
      <c r="E57" s="49">
        <v>0</v>
      </c>
      <c r="F57" s="49">
        <v>5.26</v>
      </c>
      <c r="G57" s="49">
        <v>11139000</v>
      </c>
      <c r="H57" s="67">
        <v>6532000</v>
      </c>
      <c r="I57" s="67">
        <v>13810000</v>
      </c>
      <c r="J57" s="67">
        <v>4036000</v>
      </c>
      <c r="K57" s="68">
        <f t="shared" si="0"/>
        <v>1.6184340931615462</v>
      </c>
      <c r="L57" s="66">
        <f t="shared" si="1"/>
        <v>0.29225199131064444</v>
      </c>
      <c r="M57" s="49">
        <v>0</v>
      </c>
    </row>
    <row r="58" spans="1:13" x14ac:dyDescent="0.2">
      <c r="A58" s="49" t="s">
        <v>88</v>
      </c>
      <c r="B58" s="49">
        <v>20</v>
      </c>
      <c r="C58" s="66">
        <v>0.109</v>
      </c>
      <c r="D58" s="49">
        <v>0.5</v>
      </c>
      <c r="E58" s="49">
        <v>0</v>
      </c>
      <c r="F58" s="49">
        <v>6.48</v>
      </c>
      <c r="G58" s="49">
        <v>11205000</v>
      </c>
      <c r="H58" s="67">
        <v>6508000</v>
      </c>
      <c r="I58" s="67">
        <v>14718000</v>
      </c>
      <c r="J58" s="67">
        <v>4325000</v>
      </c>
      <c r="K58" s="68">
        <f t="shared" si="0"/>
        <v>1.5047398843930635</v>
      </c>
      <c r="L58" s="66">
        <f t="shared" si="1"/>
        <v>0.29385786112243512</v>
      </c>
      <c r="M58" s="49">
        <v>0</v>
      </c>
    </row>
    <row r="59" spans="1:13" x14ac:dyDescent="0.2">
      <c r="A59" s="49" t="s">
        <v>88</v>
      </c>
      <c r="B59" s="49">
        <v>21</v>
      </c>
      <c r="C59" s="66">
        <v>0.105</v>
      </c>
      <c r="D59" s="49">
        <v>3.4</v>
      </c>
      <c r="E59" s="49">
        <v>0</v>
      </c>
      <c r="F59" s="49">
        <v>5.22</v>
      </c>
      <c r="G59" s="49">
        <v>11673000</v>
      </c>
      <c r="H59" s="67">
        <v>7285000</v>
      </c>
      <c r="I59" s="67">
        <v>16674000</v>
      </c>
      <c r="J59" s="67">
        <v>4530000</v>
      </c>
      <c r="K59" s="68">
        <f t="shared" si="0"/>
        <v>1.6081677704194262</v>
      </c>
      <c r="L59" s="66">
        <f t="shared" si="1"/>
        <v>0.27168046059733719</v>
      </c>
      <c r="M59" s="49">
        <v>0</v>
      </c>
    </row>
    <row r="60" spans="1:13" x14ac:dyDescent="0.2">
      <c r="A60" s="49" t="s">
        <v>88</v>
      </c>
      <c r="B60" s="49">
        <v>22</v>
      </c>
      <c r="C60" s="66">
        <v>0.109</v>
      </c>
      <c r="D60" s="49">
        <v>14</v>
      </c>
      <c r="E60" s="49">
        <v>0</v>
      </c>
      <c r="F60" s="49">
        <v>7.07</v>
      </c>
      <c r="G60" s="49">
        <v>12959000</v>
      </c>
      <c r="H60" s="67">
        <v>7095000</v>
      </c>
      <c r="I60" s="67">
        <v>17875000</v>
      </c>
      <c r="J60" s="67">
        <v>4681000</v>
      </c>
      <c r="K60" s="68">
        <f t="shared" si="0"/>
        <v>1.5157017731254006</v>
      </c>
      <c r="L60" s="66">
        <f t="shared" si="1"/>
        <v>0.2618741258741259</v>
      </c>
      <c r="M60" s="49">
        <v>0</v>
      </c>
    </row>
    <row r="61" spans="1:13" x14ac:dyDescent="0.2">
      <c r="A61" s="49" t="s">
        <v>88</v>
      </c>
      <c r="B61" s="49">
        <v>23</v>
      </c>
      <c r="C61" s="66">
        <v>0.13500000000000001</v>
      </c>
      <c r="D61" s="49">
        <v>14.1</v>
      </c>
      <c r="E61" s="49">
        <v>0</v>
      </c>
      <c r="F61" s="49">
        <v>7.39</v>
      </c>
      <c r="G61" s="49">
        <v>13583000</v>
      </c>
      <c r="H61" s="67">
        <v>7006000</v>
      </c>
      <c r="I61" s="67">
        <v>17893000</v>
      </c>
      <c r="J61" s="67">
        <v>4920000</v>
      </c>
      <c r="K61" s="68">
        <f t="shared" si="0"/>
        <v>1.4239837398373985</v>
      </c>
      <c r="L61" s="66">
        <f t="shared" si="1"/>
        <v>0.27496786452802774</v>
      </c>
      <c r="M61" s="49">
        <v>0</v>
      </c>
    </row>
    <row r="62" spans="1:13" x14ac:dyDescent="0.2">
      <c r="A62" s="49" t="s">
        <v>95</v>
      </c>
      <c r="B62" s="49">
        <v>19</v>
      </c>
      <c r="C62" s="66">
        <v>0.08</v>
      </c>
      <c r="D62" s="49">
        <v>3</v>
      </c>
      <c r="E62" s="49">
        <v>0</v>
      </c>
      <c r="F62" s="49">
        <v>21.26</v>
      </c>
      <c r="G62" s="49" t="s">
        <v>396</v>
      </c>
      <c r="H62" s="67">
        <v>22757000</v>
      </c>
      <c r="I62" s="67">
        <f>1.117*(10^8)</f>
        <v>111700000</v>
      </c>
      <c r="J62" s="67">
        <v>53231000</v>
      </c>
      <c r="K62" s="68">
        <f t="shared" si="0"/>
        <v>0.42751404256917963</v>
      </c>
      <c r="L62" s="66">
        <f t="shared" si="1"/>
        <v>0.47655326768128919</v>
      </c>
      <c r="M62" s="49">
        <v>0</v>
      </c>
    </row>
    <row r="63" spans="1:13" x14ac:dyDescent="0.2">
      <c r="A63" s="49" t="s">
        <v>95</v>
      </c>
      <c r="B63" s="49">
        <v>20</v>
      </c>
      <c r="C63" s="66">
        <v>0.08</v>
      </c>
      <c r="D63" s="49">
        <v>0.5</v>
      </c>
      <c r="E63" s="49">
        <v>0</v>
      </c>
      <c r="F63" s="49">
        <v>19.350000000000001</v>
      </c>
      <c r="G63" s="49" t="s">
        <v>397</v>
      </c>
      <c r="H63" s="67">
        <v>28873000</v>
      </c>
      <c r="I63" s="67">
        <f>1.134*(10^8)</f>
        <v>113399999.99999999</v>
      </c>
      <c r="J63" s="67">
        <v>53215000</v>
      </c>
      <c r="K63" s="68">
        <f t="shared" si="0"/>
        <v>0.54257258291835009</v>
      </c>
      <c r="L63" s="66">
        <f t="shared" si="1"/>
        <v>0.46926807760141098</v>
      </c>
      <c r="M63" s="49">
        <v>0</v>
      </c>
    </row>
    <row r="64" spans="1:13" x14ac:dyDescent="0.2">
      <c r="A64" s="49" t="s">
        <v>95</v>
      </c>
      <c r="B64" s="49">
        <v>21</v>
      </c>
      <c r="C64" s="66">
        <v>0.08</v>
      </c>
      <c r="D64" s="49">
        <v>3.4</v>
      </c>
      <c r="E64" s="49">
        <v>0</v>
      </c>
      <c r="F64" s="49">
        <v>21.46</v>
      </c>
      <c r="G64" s="49" t="s">
        <v>398</v>
      </c>
      <c r="H64" s="67">
        <v>32113000</v>
      </c>
      <c r="I64" s="67">
        <f>1.367*(10^8)</f>
        <v>136700000</v>
      </c>
      <c r="J64" s="67">
        <v>67633000</v>
      </c>
      <c r="K64" s="68">
        <f t="shared" si="0"/>
        <v>0.47481259148640459</v>
      </c>
      <c r="L64" s="66">
        <f t="shared" si="1"/>
        <v>0.49475493782004387</v>
      </c>
      <c r="M64" s="49">
        <v>0</v>
      </c>
    </row>
    <row r="65" spans="1:13" x14ac:dyDescent="0.2">
      <c r="A65" s="49" t="s">
        <v>95</v>
      </c>
      <c r="B65" s="49">
        <v>22</v>
      </c>
      <c r="C65" s="66">
        <v>0.08</v>
      </c>
      <c r="D65" s="49">
        <v>14</v>
      </c>
      <c r="E65" s="49">
        <v>0</v>
      </c>
      <c r="F65" s="49">
        <v>22.02</v>
      </c>
      <c r="G65" s="49" t="s">
        <v>399</v>
      </c>
      <c r="H65" s="67">
        <v>44299000</v>
      </c>
      <c r="I65" s="67">
        <f>1.723*(10^8)</f>
        <v>172300000</v>
      </c>
      <c r="J65" s="67">
        <v>79976000</v>
      </c>
      <c r="K65" s="68">
        <f t="shared" si="0"/>
        <v>0.55390367110133043</v>
      </c>
      <c r="L65" s="66">
        <f t="shared" si="1"/>
        <v>0.46416715031921069</v>
      </c>
      <c r="M65" s="49">
        <v>0</v>
      </c>
    </row>
    <row r="66" spans="1:13" x14ac:dyDescent="0.2">
      <c r="A66" s="49" t="s">
        <v>95</v>
      </c>
      <c r="B66" s="49">
        <v>23</v>
      </c>
      <c r="C66" s="66">
        <v>0.08</v>
      </c>
      <c r="D66" s="49">
        <v>14.1</v>
      </c>
      <c r="E66" s="49">
        <v>0</v>
      </c>
      <c r="F66" s="49">
        <v>22.14</v>
      </c>
      <c r="G66" s="49" t="s">
        <v>400</v>
      </c>
      <c r="H66" s="67">
        <v>45361000</v>
      </c>
      <c r="I66" s="67">
        <f>1.827*(10^8)</f>
        <v>182700000</v>
      </c>
      <c r="J66" s="67">
        <v>91450000</v>
      </c>
      <c r="K66" s="68">
        <f t="shared" si="0"/>
        <v>0.49601968288682341</v>
      </c>
      <c r="L66" s="66">
        <f t="shared" si="1"/>
        <v>0.50054734537493162</v>
      </c>
      <c r="M66" s="49">
        <v>0</v>
      </c>
    </row>
    <row r="67" spans="1:13" x14ac:dyDescent="0.2">
      <c r="A67" s="49" t="s">
        <v>97</v>
      </c>
      <c r="B67" s="49">
        <v>19</v>
      </c>
      <c r="C67" s="66">
        <v>8.9499999999999996E-2</v>
      </c>
      <c r="D67" s="49">
        <v>3</v>
      </c>
      <c r="E67" s="49">
        <v>0</v>
      </c>
      <c r="F67" s="49">
        <v>6.07</v>
      </c>
      <c r="G67" s="49">
        <v>12045000</v>
      </c>
      <c r="H67" s="67">
        <v>7446000</v>
      </c>
      <c r="I67" s="67">
        <v>20270000</v>
      </c>
      <c r="J67" s="67">
        <v>5831000</v>
      </c>
      <c r="K67" s="68">
        <f t="shared" si="0"/>
        <v>1.2769679300291545</v>
      </c>
      <c r="L67" s="66">
        <f t="shared" si="1"/>
        <v>0.2876665022200296</v>
      </c>
      <c r="M67" s="49">
        <v>0</v>
      </c>
    </row>
    <row r="68" spans="1:13" x14ac:dyDescent="0.2">
      <c r="A68" s="49" t="s">
        <v>97</v>
      </c>
      <c r="B68" s="49">
        <v>20</v>
      </c>
      <c r="C68" s="66">
        <v>0.1075</v>
      </c>
      <c r="D68" s="49">
        <v>0.5</v>
      </c>
      <c r="E68" s="49">
        <v>821000</v>
      </c>
      <c r="F68" s="49" t="s">
        <v>401</v>
      </c>
      <c r="G68" s="49">
        <v>12361000</v>
      </c>
      <c r="H68" s="67">
        <v>6644000</v>
      </c>
      <c r="I68" s="67">
        <v>20072000</v>
      </c>
      <c r="J68" s="67">
        <v>4849000</v>
      </c>
      <c r="K68" s="68">
        <f t="shared" si="0"/>
        <v>1.370179418436791</v>
      </c>
      <c r="L68" s="66">
        <f t="shared" si="1"/>
        <v>0.24158031088082901</v>
      </c>
      <c r="M68" s="49">
        <v>1</v>
      </c>
    </row>
    <row r="69" spans="1:13" x14ac:dyDescent="0.2">
      <c r="A69" s="49" t="s">
        <v>97</v>
      </c>
      <c r="B69" s="49">
        <v>21</v>
      </c>
      <c r="C69" s="66">
        <v>0.10349999999999999</v>
      </c>
      <c r="D69" s="49">
        <v>3.4</v>
      </c>
      <c r="E69" s="49">
        <v>0</v>
      </c>
      <c r="F69" s="49">
        <v>6.29</v>
      </c>
      <c r="G69" s="49">
        <v>12891000</v>
      </c>
      <c r="H69" s="67">
        <v>6878000</v>
      </c>
      <c r="I69" s="67">
        <v>21076000</v>
      </c>
      <c r="J69" s="67">
        <v>4932000</v>
      </c>
      <c r="K69" s="68">
        <f t="shared" si="0"/>
        <v>1.394566098945661</v>
      </c>
      <c r="L69" s="66">
        <f t="shared" si="1"/>
        <v>0.23401024862402733</v>
      </c>
      <c r="M69" s="49">
        <v>0</v>
      </c>
    </row>
    <row r="70" spans="1:13" x14ac:dyDescent="0.2">
      <c r="A70" s="49" t="s">
        <v>97</v>
      </c>
      <c r="B70" s="49">
        <v>22</v>
      </c>
      <c r="C70" s="66">
        <v>0.10349999999999999</v>
      </c>
      <c r="D70" s="49">
        <v>14</v>
      </c>
      <c r="E70" s="49">
        <v>0</v>
      </c>
      <c r="F70" s="49">
        <v>4.26</v>
      </c>
      <c r="G70" s="49">
        <v>14557000</v>
      </c>
      <c r="H70" s="67">
        <v>7204000</v>
      </c>
      <c r="I70" s="67">
        <v>22325000</v>
      </c>
      <c r="J70" s="67">
        <v>5001000</v>
      </c>
      <c r="K70" s="68">
        <f t="shared" si="0"/>
        <v>1.4405118976204758</v>
      </c>
      <c r="L70" s="66">
        <f t="shared" si="1"/>
        <v>0.22400895856662933</v>
      </c>
      <c r="M70" s="49">
        <v>0</v>
      </c>
    </row>
    <row r="71" spans="1:13" x14ac:dyDescent="0.2">
      <c r="A71" s="49" t="s">
        <v>97</v>
      </c>
      <c r="B71" s="49">
        <v>23</v>
      </c>
      <c r="C71" s="66">
        <v>9.6000000000000002E-2</v>
      </c>
      <c r="D71" s="49">
        <v>14.1</v>
      </c>
      <c r="E71" s="49">
        <v>0</v>
      </c>
      <c r="F71" s="49">
        <v>7.44</v>
      </c>
      <c r="G71" s="49">
        <v>17327000</v>
      </c>
      <c r="H71" s="67">
        <v>7197000</v>
      </c>
      <c r="I71" s="67">
        <v>22893000</v>
      </c>
      <c r="J71" s="67">
        <v>5363000</v>
      </c>
      <c r="K71" s="68">
        <f t="shared" si="0"/>
        <v>1.341972776431102</v>
      </c>
      <c r="L71" s="66">
        <f t="shared" si="1"/>
        <v>0.23426374874415759</v>
      </c>
      <c r="M71" s="49">
        <v>0</v>
      </c>
    </row>
    <row r="72" spans="1:13" x14ac:dyDescent="0.2">
      <c r="A72" s="49" t="s">
        <v>99</v>
      </c>
      <c r="B72" s="49">
        <v>19</v>
      </c>
      <c r="C72" s="66">
        <v>6.8000000000000005E-2</v>
      </c>
      <c r="D72" s="49">
        <v>3</v>
      </c>
      <c r="E72" s="49">
        <v>0</v>
      </c>
      <c r="F72" s="49">
        <v>4.5199999999999996</v>
      </c>
      <c r="G72" s="49">
        <v>51263000</v>
      </c>
      <c r="H72" s="67">
        <v>2767000</v>
      </c>
      <c r="I72" s="67">
        <v>17293000</v>
      </c>
      <c r="J72" s="67">
        <v>4020000</v>
      </c>
      <c r="K72" s="68">
        <f t="shared" si="0"/>
        <v>0.68830845771144278</v>
      </c>
      <c r="L72" s="66">
        <f t="shared" si="1"/>
        <v>0.2324640027756896</v>
      </c>
      <c r="M72" s="49">
        <v>0</v>
      </c>
    </row>
    <row r="73" spans="1:13" x14ac:dyDescent="0.2">
      <c r="A73" s="49" t="s">
        <v>99</v>
      </c>
      <c r="B73" s="49">
        <v>20</v>
      </c>
      <c r="C73" s="66">
        <v>6.8000000000000005E-2</v>
      </c>
      <c r="D73" s="49">
        <v>0.5</v>
      </c>
      <c r="E73" s="49">
        <v>0</v>
      </c>
      <c r="F73" s="49">
        <v>4.7</v>
      </c>
      <c r="G73" s="49">
        <v>54328000</v>
      </c>
      <c r="H73" s="67">
        <v>2769000</v>
      </c>
      <c r="I73" s="67">
        <v>18814000</v>
      </c>
      <c r="J73" s="67">
        <v>4331000</v>
      </c>
      <c r="K73" s="68">
        <f t="shared" si="0"/>
        <v>0.63934426229508201</v>
      </c>
      <c r="L73" s="66">
        <f t="shared" si="1"/>
        <v>0.23020091421282024</v>
      </c>
      <c r="M73" s="49">
        <v>0</v>
      </c>
    </row>
    <row r="74" spans="1:13" x14ac:dyDescent="0.2">
      <c r="A74" s="49" t="s">
        <v>99</v>
      </c>
      <c r="B74" s="49">
        <v>21</v>
      </c>
      <c r="C74" s="66">
        <v>6.9000000000000006E-2</v>
      </c>
      <c r="D74" s="49">
        <v>3.4</v>
      </c>
      <c r="E74" s="49">
        <v>0</v>
      </c>
      <c r="F74" s="49">
        <v>5.09</v>
      </c>
      <c r="G74" s="49">
        <v>58679000</v>
      </c>
      <c r="H74" s="67">
        <v>3846000</v>
      </c>
      <c r="I74" s="67">
        <v>23731000</v>
      </c>
      <c r="J74" s="67">
        <v>4952000</v>
      </c>
      <c r="K74" s="68">
        <f t="shared" si="0"/>
        <v>0.7766558966074314</v>
      </c>
      <c r="L74" s="66">
        <f t="shared" si="1"/>
        <v>0.20867220091862965</v>
      </c>
      <c r="M74" s="49">
        <v>0</v>
      </c>
    </row>
    <row r="75" spans="1:13" x14ac:dyDescent="0.2">
      <c r="A75" s="49" t="s">
        <v>99</v>
      </c>
      <c r="B75" s="49">
        <v>22</v>
      </c>
      <c r="C75" s="66">
        <v>7.1999999999999995E-2</v>
      </c>
      <c r="D75" s="49">
        <v>14</v>
      </c>
      <c r="E75" s="49">
        <v>0</v>
      </c>
      <c r="F75" s="49">
        <v>4.26</v>
      </c>
      <c r="G75" s="49">
        <v>74508000</v>
      </c>
      <c r="H75" s="67">
        <v>3526000</v>
      </c>
      <c r="I75" s="67">
        <v>28618000</v>
      </c>
      <c r="J75" s="67">
        <v>6609000</v>
      </c>
      <c r="K75" s="68">
        <f t="shared" si="0"/>
        <v>0.53351490391889844</v>
      </c>
      <c r="L75" s="66">
        <f t="shared" si="1"/>
        <v>0.23093857013068697</v>
      </c>
      <c r="M75" s="49">
        <v>0</v>
      </c>
    </row>
    <row r="76" spans="1:13" x14ac:dyDescent="0.2">
      <c r="A76" s="49" t="s">
        <v>99</v>
      </c>
      <c r="B76" s="49">
        <v>23</v>
      </c>
      <c r="C76" s="66">
        <v>7.4999999999999997E-2</v>
      </c>
      <c r="D76" s="49">
        <v>14.1</v>
      </c>
      <c r="E76" s="49">
        <v>0</v>
      </c>
      <c r="F76" s="49">
        <v>4.22</v>
      </c>
      <c r="G76" s="49">
        <v>81854000</v>
      </c>
      <c r="H76" s="67">
        <v>3606000</v>
      </c>
      <c r="I76" s="67">
        <v>30018000</v>
      </c>
      <c r="J76" s="67">
        <v>6878000</v>
      </c>
      <c r="K76" s="68">
        <f t="shared" si="0"/>
        <v>0.52428031404478048</v>
      </c>
      <c r="L76" s="66">
        <f t="shared" si="1"/>
        <v>0.22912918915317476</v>
      </c>
      <c r="M76" s="49">
        <v>0</v>
      </c>
    </row>
    <row r="77" spans="1:13" x14ac:dyDescent="0.2">
      <c r="A77" s="49" t="s">
        <v>106</v>
      </c>
      <c r="B77" s="49">
        <v>19</v>
      </c>
      <c r="C77" s="66">
        <v>9.6000000000000002E-2</v>
      </c>
      <c r="D77" s="49">
        <v>3</v>
      </c>
      <c r="E77" s="49">
        <v>0</v>
      </c>
      <c r="F77" s="49">
        <v>5.07</v>
      </c>
      <c r="G77" s="49">
        <v>6212900</v>
      </c>
      <c r="H77" s="67">
        <v>2896700</v>
      </c>
      <c r="I77" s="67">
        <v>6018200</v>
      </c>
      <c r="J77" s="67">
        <v>2889700</v>
      </c>
      <c r="K77" s="68">
        <f t="shared" si="0"/>
        <v>1.0024223967885939</v>
      </c>
      <c r="L77" s="66">
        <f t="shared" si="1"/>
        <v>0.48016018078495232</v>
      </c>
      <c r="M77" s="49">
        <v>0</v>
      </c>
    </row>
    <row r="78" spans="1:13" x14ac:dyDescent="0.2">
      <c r="A78" s="49" t="s">
        <v>106</v>
      </c>
      <c r="B78" s="49">
        <v>20</v>
      </c>
      <c r="C78" s="66">
        <v>0.08</v>
      </c>
      <c r="D78" s="49">
        <v>0.5</v>
      </c>
      <c r="E78" s="49">
        <v>0</v>
      </c>
      <c r="F78" s="49">
        <v>7.37</v>
      </c>
      <c r="G78" s="49">
        <v>8973800</v>
      </c>
      <c r="H78" s="67">
        <v>4395100</v>
      </c>
      <c r="I78" s="67">
        <v>8629700</v>
      </c>
      <c r="J78" s="67">
        <v>2787200</v>
      </c>
      <c r="K78" s="68">
        <f t="shared" si="0"/>
        <v>1.5768871986222732</v>
      </c>
      <c r="L78" s="66">
        <f t="shared" si="1"/>
        <v>0.32297762378761719</v>
      </c>
      <c r="M78" s="49">
        <v>0</v>
      </c>
    </row>
    <row r="79" spans="1:13" x14ac:dyDescent="0.2">
      <c r="A79" s="49" t="s">
        <v>106</v>
      </c>
      <c r="B79" s="49">
        <v>21</v>
      </c>
      <c r="C79" s="66">
        <v>0.08</v>
      </c>
      <c r="D79" s="49">
        <v>3.4</v>
      </c>
      <c r="E79" s="49">
        <v>0</v>
      </c>
      <c r="F79" s="49">
        <v>6.17</v>
      </c>
      <c r="G79" s="49">
        <v>12681600</v>
      </c>
      <c r="H79" s="67">
        <v>6318700</v>
      </c>
      <c r="I79" s="67">
        <v>13612300</v>
      </c>
      <c r="J79" s="67">
        <v>5211900</v>
      </c>
      <c r="K79" s="68">
        <f t="shared" si="0"/>
        <v>1.2123601757516453</v>
      </c>
      <c r="L79" s="66">
        <f t="shared" si="1"/>
        <v>0.38288165850003308</v>
      </c>
      <c r="M79" s="49">
        <v>0</v>
      </c>
    </row>
    <row r="80" spans="1:13" x14ac:dyDescent="0.2">
      <c r="A80" s="49" t="s">
        <v>106</v>
      </c>
      <c r="B80" s="49">
        <v>22</v>
      </c>
      <c r="C80" s="66">
        <v>0.08</v>
      </c>
      <c r="D80" s="49">
        <v>14</v>
      </c>
      <c r="E80" s="49">
        <v>0</v>
      </c>
      <c r="F80" s="49">
        <v>0.8</v>
      </c>
      <c r="G80" s="49">
        <v>13450700</v>
      </c>
      <c r="H80" s="67">
        <v>6480900</v>
      </c>
      <c r="I80" s="67">
        <v>14281400</v>
      </c>
      <c r="J80" s="67">
        <v>7613900</v>
      </c>
      <c r="K80" s="68">
        <f t="shared" si="0"/>
        <v>0.85119321241413726</v>
      </c>
      <c r="L80" s="66">
        <f t="shared" si="1"/>
        <v>0.5331340064699539</v>
      </c>
      <c r="M80" s="49">
        <v>0</v>
      </c>
    </row>
    <row r="81" spans="1:13" x14ac:dyDescent="0.2">
      <c r="A81" s="49" t="s">
        <v>106</v>
      </c>
      <c r="B81" s="49">
        <v>23</v>
      </c>
      <c r="C81" s="66">
        <v>0.08</v>
      </c>
      <c r="D81" s="49">
        <v>14.1</v>
      </c>
      <c r="E81" s="49">
        <v>0</v>
      </c>
      <c r="F81" s="49" t="s">
        <v>402</v>
      </c>
      <c r="G81" s="49">
        <v>11810800</v>
      </c>
      <c r="H81" s="67">
        <v>5899700</v>
      </c>
      <c r="I81" s="67">
        <v>11423300</v>
      </c>
      <c r="J81" s="67">
        <v>6342600</v>
      </c>
      <c r="K81" s="68">
        <f t="shared" si="0"/>
        <v>0.93017059250149781</v>
      </c>
      <c r="L81" s="66">
        <f t="shared" si="1"/>
        <v>0.55523360149869128</v>
      </c>
      <c r="M81" s="49">
        <v>0</v>
      </c>
    </row>
    <row r="82" spans="1:13" x14ac:dyDescent="0.2">
      <c r="A82" s="49" t="s">
        <v>131</v>
      </c>
      <c r="B82" s="49">
        <v>19</v>
      </c>
      <c r="C82" s="66">
        <v>0.105</v>
      </c>
      <c r="D82" s="49">
        <v>3</v>
      </c>
      <c r="E82" s="49">
        <v>0</v>
      </c>
      <c r="F82" s="49">
        <v>12.16</v>
      </c>
      <c r="G82" s="49">
        <v>1865499</v>
      </c>
      <c r="H82" s="67">
        <v>535916</v>
      </c>
      <c r="I82" s="67">
        <v>1868812</v>
      </c>
      <c r="J82" s="67">
        <v>839677</v>
      </c>
      <c r="K82" s="68">
        <f t="shared" si="0"/>
        <v>0.638240656823993</v>
      </c>
      <c r="L82" s="66">
        <f t="shared" si="1"/>
        <v>0.4493105780570758</v>
      </c>
      <c r="M82" s="49">
        <v>0</v>
      </c>
    </row>
    <row r="83" spans="1:13" x14ac:dyDescent="0.2">
      <c r="A83" s="49" t="s">
        <v>131</v>
      </c>
      <c r="B83" s="49">
        <v>20</v>
      </c>
      <c r="C83" s="66">
        <v>0.105</v>
      </c>
      <c r="D83" s="49">
        <v>0.5</v>
      </c>
      <c r="E83" s="49">
        <v>0</v>
      </c>
      <c r="F83" s="49">
        <v>4.5</v>
      </c>
      <c r="G83" s="49">
        <v>1464155</v>
      </c>
      <c r="H83" s="67">
        <v>548759</v>
      </c>
      <c r="I83" s="67">
        <v>1960087</v>
      </c>
      <c r="J83" s="67">
        <v>709857</v>
      </c>
      <c r="K83" s="68">
        <f t="shared" si="0"/>
        <v>0.77305569995083512</v>
      </c>
      <c r="L83" s="66">
        <f t="shared" si="1"/>
        <v>0.36215586348973283</v>
      </c>
      <c r="M83" s="49">
        <v>0</v>
      </c>
    </row>
    <row r="84" spans="1:13" x14ac:dyDescent="0.2">
      <c r="A84" s="49" t="s">
        <v>131</v>
      </c>
      <c r="B84" s="49">
        <v>21</v>
      </c>
      <c r="C84" s="66">
        <v>0.1</v>
      </c>
      <c r="D84" s="49">
        <v>3.4</v>
      </c>
      <c r="E84" s="49">
        <v>0</v>
      </c>
      <c r="F84" s="49">
        <v>16.37</v>
      </c>
      <c r="G84" s="49">
        <v>1966456</v>
      </c>
      <c r="H84" s="67">
        <v>830094</v>
      </c>
      <c r="I84" s="67">
        <v>2491837</v>
      </c>
      <c r="J84" s="67">
        <v>983250</v>
      </c>
      <c r="K84" s="68">
        <f t="shared" si="0"/>
        <v>0.84423493516399695</v>
      </c>
      <c r="L84" s="66">
        <f t="shared" si="1"/>
        <v>0.39458841007658207</v>
      </c>
      <c r="M84" s="49">
        <v>0</v>
      </c>
    </row>
    <row r="85" spans="1:13" x14ac:dyDescent="0.2">
      <c r="A85" s="49" t="s">
        <v>131</v>
      </c>
      <c r="B85" s="49">
        <v>22</v>
      </c>
      <c r="C85" s="66">
        <v>0.11</v>
      </c>
      <c r="D85" s="49">
        <v>14</v>
      </c>
      <c r="E85" s="49">
        <v>0</v>
      </c>
      <c r="F85" s="49">
        <v>12.1</v>
      </c>
      <c r="G85" s="49">
        <v>2529634</v>
      </c>
      <c r="H85" s="67">
        <v>908882</v>
      </c>
      <c r="I85" s="67">
        <v>2758519</v>
      </c>
      <c r="J85" s="67">
        <v>1213930</v>
      </c>
      <c r="K85" s="68">
        <f t="shared" si="0"/>
        <v>0.74871038692511105</v>
      </c>
      <c r="L85" s="66">
        <f t="shared" si="1"/>
        <v>0.44006584692728234</v>
      </c>
      <c r="M85" s="49">
        <v>0</v>
      </c>
    </row>
    <row r="86" spans="1:13" x14ac:dyDescent="0.2">
      <c r="A86" s="49" t="s">
        <v>131</v>
      </c>
      <c r="B86" s="49">
        <v>23</v>
      </c>
      <c r="C86" s="66">
        <v>0.113</v>
      </c>
      <c r="D86" s="49">
        <v>14.1</v>
      </c>
      <c r="E86" s="49">
        <v>0</v>
      </c>
      <c r="F86" s="49">
        <v>12</v>
      </c>
      <c r="G86" s="49">
        <v>2682892</v>
      </c>
      <c r="H86" s="67">
        <v>1103993</v>
      </c>
      <c r="I86" s="67">
        <v>2956421</v>
      </c>
      <c r="J86" s="67">
        <v>1300654</v>
      </c>
      <c r="K86" s="68">
        <f t="shared" si="0"/>
        <v>0.84879837374121014</v>
      </c>
      <c r="L86" s="66">
        <f t="shared" si="1"/>
        <v>0.43994207861464929</v>
      </c>
      <c r="M86" s="49">
        <v>0</v>
      </c>
    </row>
    <row r="87" spans="1:13" x14ac:dyDescent="0.2">
      <c r="A87" s="49" t="s">
        <v>101</v>
      </c>
      <c r="B87" s="49">
        <v>19</v>
      </c>
      <c r="C87" s="66">
        <v>8.1100000000000005E-2</v>
      </c>
      <c r="D87" s="49">
        <v>3</v>
      </c>
      <c r="E87" s="49">
        <v>0</v>
      </c>
      <c r="F87" s="49">
        <v>8.3800000000000008</v>
      </c>
      <c r="G87" s="49">
        <v>14845604</v>
      </c>
      <c r="H87" s="67">
        <v>1559618</v>
      </c>
      <c r="I87" s="67">
        <v>11078776</v>
      </c>
      <c r="J87" s="67">
        <v>4282238</v>
      </c>
      <c r="K87" s="68">
        <f t="shared" si="0"/>
        <v>0.36420628652587733</v>
      </c>
      <c r="L87" s="66">
        <f t="shared" si="1"/>
        <v>0.38652627329950529</v>
      </c>
      <c r="M87" s="49">
        <v>0</v>
      </c>
    </row>
    <row r="88" spans="1:13" x14ac:dyDescent="0.2">
      <c r="A88" s="49" t="s">
        <v>101</v>
      </c>
      <c r="B88" s="49">
        <v>20</v>
      </c>
      <c r="C88" s="66">
        <v>8.2600000000000007E-2</v>
      </c>
      <c r="D88" s="49">
        <v>0.5</v>
      </c>
      <c r="E88" s="49">
        <v>0</v>
      </c>
      <c r="F88" s="49">
        <v>7.42</v>
      </c>
      <c r="G88" s="49">
        <v>14087258</v>
      </c>
      <c r="H88" s="67">
        <v>1563041</v>
      </c>
      <c r="I88" s="67">
        <v>11400519</v>
      </c>
      <c r="J88" s="67">
        <v>4412320</v>
      </c>
      <c r="K88" s="68">
        <f t="shared" si="0"/>
        <v>0.3542447057330384</v>
      </c>
      <c r="L88" s="66">
        <f t="shared" si="1"/>
        <v>0.38702799407641003</v>
      </c>
      <c r="M88" s="49">
        <v>0</v>
      </c>
    </row>
    <row r="89" spans="1:13" x14ac:dyDescent="0.2">
      <c r="A89" s="49" t="s">
        <v>101</v>
      </c>
      <c r="B89" s="49">
        <v>21</v>
      </c>
      <c r="C89" s="66">
        <v>9.1300000000000006E-2</v>
      </c>
      <c r="D89" s="49">
        <v>3.4</v>
      </c>
      <c r="E89" s="49">
        <v>0</v>
      </c>
      <c r="F89" s="49">
        <v>8.14</v>
      </c>
      <c r="G89" s="49">
        <v>16952538</v>
      </c>
      <c r="H89" s="67">
        <v>2667506</v>
      </c>
      <c r="I89" s="67">
        <v>15299967</v>
      </c>
      <c r="J89" s="67">
        <v>5172655</v>
      </c>
      <c r="K89" s="68">
        <f t="shared" si="0"/>
        <v>0.51569377814681239</v>
      </c>
      <c r="L89" s="66">
        <f t="shared" si="1"/>
        <v>0.33808275534189058</v>
      </c>
      <c r="M89" s="49">
        <v>0</v>
      </c>
    </row>
    <row r="90" spans="1:13" x14ac:dyDescent="0.2">
      <c r="A90" s="49" t="s">
        <v>101</v>
      </c>
      <c r="B90" s="49">
        <v>22</v>
      </c>
      <c r="C90" s="66">
        <v>8.4000000000000005E-2</v>
      </c>
      <c r="D90" s="49">
        <v>14</v>
      </c>
      <c r="E90" s="49">
        <v>0</v>
      </c>
      <c r="F90" s="49">
        <v>9.1199999999999992</v>
      </c>
      <c r="G90" s="49">
        <v>22783000</v>
      </c>
      <c r="H90" s="67">
        <v>4416000</v>
      </c>
      <c r="I90" s="67">
        <v>21864000</v>
      </c>
      <c r="J90" s="67">
        <v>6603000</v>
      </c>
      <c r="K90" s="68">
        <f t="shared" si="0"/>
        <v>0.66878691503861876</v>
      </c>
      <c r="L90" s="66">
        <f t="shared" si="1"/>
        <v>0.30200329308452251</v>
      </c>
      <c r="M90" s="49">
        <v>0</v>
      </c>
    </row>
    <row r="91" spans="1:13" x14ac:dyDescent="0.2">
      <c r="A91" s="49" t="s">
        <v>101</v>
      </c>
      <c r="B91" s="49">
        <v>23</v>
      </c>
      <c r="C91" s="66">
        <v>8.2000000000000003E-2</v>
      </c>
      <c r="D91" s="49">
        <v>14.1</v>
      </c>
      <c r="E91" s="49">
        <v>0</v>
      </c>
      <c r="F91" s="49">
        <v>10.44</v>
      </c>
      <c r="G91" s="49">
        <v>32267000</v>
      </c>
      <c r="H91" s="67">
        <v>11891000</v>
      </c>
      <c r="I91" s="67">
        <v>39170000</v>
      </c>
      <c r="J91" s="67">
        <v>21324000</v>
      </c>
      <c r="K91" s="68">
        <f t="shared" si="0"/>
        <v>0.55763459013318328</v>
      </c>
      <c r="L91" s="66">
        <f t="shared" si="1"/>
        <v>0.54439622159816181</v>
      </c>
      <c r="M91" s="49">
        <v>0</v>
      </c>
    </row>
    <row r="92" spans="1:13" x14ac:dyDescent="0.2">
      <c r="A92" s="49" t="s">
        <v>103</v>
      </c>
      <c r="B92" s="49">
        <v>19</v>
      </c>
      <c r="C92" s="66">
        <v>0.1</v>
      </c>
      <c r="D92" s="49">
        <v>3</v>
      </c>
      <c r="E92" s="49">
        <v>0</v>
      </c>
      <c r="F92" s="49">
        <v>5.28</v>
      </c>
      <c r="G92" s="49">
        <v>4087000</v>
      </c>
      <c r="H92" s="67">
        <v>1570000</v>
      </c>
      <c r="I92" s="67">
        <v>4757000</v>
      </c>
      <c r="J92" s="67">
        <v>1631000</v>
      </c>
      <c r="K92" s="68">
        <f t="shared" si="0"/>
        <v>0.96259963212752908</v>
      </c>
      <c r="L92" s="66">
        <f t="shared" si="1"/>
        <v>0.34286314904351484</v>
      </c>
      <c r="M92" s="49">
        <v>0</v>
      </c>
    </row>
    <row r="93" spans="1:13" x14ac:dyDescent="0.2">
      <c r="A93" s="49" t="s">
        <v>103</v>
      </c>
      <c r="B93" s="49">
        <v>20</v>
      </c>
      <c r="C93" s="66"/>
      <c r="D93" s="49">
        <v>0.5</v>
      </c>
      <c r="E93" s="49">
        <v>0</v>
      </c>
      <c r="F93" s="49">
        <v>6.25</v>
      </c>
      <c r="G93" s="49">
        <v>4326000</v>
      </c>
      <c r="H93" s="67">
        <v>1609000</v>
      </c>
      <c r="I93" s="67">
        <v>4941000</v>
      </c>
      <c r="J93" s="67">
        <v>1701000</v>
      </c>
      <c r="K93" s="68">
        <f t="shared" si="0"/>
        <v>0.9459141681363904</v>
      </c>
      <c r="L93" s="66">
        <f t="shared" si="1"/>
        <v>0.34426229508196721</v>
      </c>
      <c r="M93" s="49">
        <v>0</v>
      </c>
    </row>
    <row r="94" spans="1:13" x14ac:dyDescent="0.2">
      <c r="A94" s="49" t="s">
        <v>103</v>
      </c>
      <c r="B94" s="49">
        <v>21</v>
      </c>
      <c r="C94" s="66"/>
      <c r="D94" s="49">
        <v>3.4</v>
      </c>
      <c r="E94" s="49">
        <v>0</v>
      </c>
      <c r="F94" s="49">
        <v>6.58</v>
      </c>
      <c r="G94" s="49">
        <v>4586000</v>
      </c>
      <c r="H94" s="67">
        <v>1667000</v>
      </c>
      <c r="I94" s="67">
        <v>5295000</v>
      </c>
      <c r="J94" s="67">
        <v>1915000</v>
      </c>
      <c r="K94" s="68">
        <f t="shared" si="0"/>
        <v>0.87049608355091379</v>
      </c>
      <c r="L94" s="66">
        <f t="shared" si="1"/>
        <v>0.36166194523135031</v>
      </c>
      <c r="M94" s="49">
        <v>0</v>
      </c>
    </row>
    <row r="95" spans="1:13" x14ac:dyDescent="0.2">
      <c r="A95" s="49" t="s">
        <v>103</v>
      </c>
      <c r="B95" s="49">
        <v>22</v>
      </c>
      <c r="C95" s="66">
        <v>0.1</v>
      </c>
      <c r="D95" s="49">
        <v>14</v>
      </c>
      <c r="E95" s="49">
        <v>0</v>
      </c>
      <c r="F95" s="49">
        <v>7.33</v>
      </c>
      <c r="G95" s="49">
        <v>4793000</v>
      </c>
      <c r="H95" s="67">
        <v>1815000</v>
      </c>
      <c r="I95" s="67">
        <v>5749000</v>
      </c>
      <c r="J95" s="67">
        <v>2181000</v>
      </c>
      <c r="K95" s="68">
        <f t="shared" si="0"/>
        <v>0.83218707015130677</v>
      </c>
      <c r="L95" s="66">
        <f t="shared" si="1"/>
        <v>0.3793703252739607</v>
      </c>
      <c r="M95" s="49">
        <v>0</v>
      </c>
    </row>
    <row r="96" spans="1:13" x14ac:dyDescent="0.2">
      <c r="A96" s="49" t="s">
        <v>103</v>
      </c>
      <c r="B96" s="49">
        <v>23</v>
      </c>
      <c r="C96" s="66">
        <v>0.1</v>
      </c>
      <c r="D96" s="49">
        <v>14.1</v>
      </c>
      <c r="E96" s="49">
        <v>0</v>
      </c>
      <c r="F96" s="49">
        <v>8.24</v>
      </c>
      <c r="G96" s="49">
        <v>4762000</v>
      </c>
      <c r="H96" s="67">
        <v>2018000</v>
      </c>
      <c r="I96" s="67">
        <v>6062000</v>
      </c>
      <c r="J96" s="67">
        <v>2108000</v>
      </c>
      <c r="K96" s="68">
        <f t="shared" si="0"/>
        <v>0.95730550284629978</v>
      </c>
      <c r="L96" s="66">
        <f t="shared" si="1"/>
        <v>0.34774001979544705</v>
      </c>
      <c r="M96" s="49">
        <v>0</v>
      </c>
    </row>
    <row r="97" spans="1:13" x14ac:dyDescent="0.2">
      <c r="A97" s="49" t="s">
        <v>108</v>
      </c>
      <c r="B97" s="49">
        <v>19</v>
      </c>
      <c r="C97" s="66">
        <v>5.2200000000000003E-2</v>
      </c>
      <c r="D97" s="49">
        <v>3</v>
      </c>
      <c r="E97" s="49">
        <v>13000</v>
      </c>
      <c r="F97" s="49">
        <v>4.3899999999999997</v>
      </c>
      <c r="G97" s="49">
        <v>29532000</v>
      </c>
      <c r="H97" s="67">
        <v>847000</v>
      </c>
      <c r="I97" s="67">
        <v>16081000</v>
      </c>
      <c r="J97" s="67">
        <v>3186000</v>
      </c>
      <c r="K97" s="68">
        <f t="shared" si="0"/>
        <v>0.26585059635907093</v>
      </c>
      <c r="L97" s="66">
        <f t="shared" si="1"/>
        <v>0.19812200733785212</v>
      </c>
      <c r="M97" s="49">
        <v>1</v>
      </c>
    </row>
    <row r="98" spans="1:13" x14ac:dyDescent="0.2">
      <c r="A98" s="49" t="s">
        <v>108</v>
      </c>
      <c r="B98" s="49">
        <v>20</v>
      </c>
      <c r="C98" s="66">
        <v>5.3499999999999999E-2</v>
      </c>
      <c r="D98" s="49">
        <v>0.5</v>
      </c>
      <c r="E98" s="49">
        <v>0</v>
      </c>
      <c r="F98" s="49">
        <v>5.08</v>
      </c>
      <c r="G98" s="49">
        <v>30187000</v>
      </c>
      <c r="H98" s="67">
        <v>812000</v>
      </c>
      <c r="I98" s="67">
        <v>16416000</v>
      </c>
      <c r="J98" s="67">
        <v>3968000</v>
      </c>
      <c r="K98" s="68">
        <f t="shared" si="0"/>
        <v>0.20463709677419356</v>
      </c>
      <c r="L98" s="66">
        <f t="shared" si="1"/>
        <v>0.24171539961013644</v>
      </c>
      <c r="M98" s="49">
        <v>0</v>
      </c>
    </row>
    <row r="99" spans="1:13" x14ac:dyDescent="0.2">
      <c r="A99" s="49" t="s">
        <v>108</v>
      </c>
      <c r="B99" s="49">
        <v>21</v>
      </c>
      <c r="C99" s="66">
        <v>6.2700000000000006E-2</v>
      </c>
      <c r="D99" s="49">
        <v>3.4</v>
      </c>
      <c r="E99" s="49">
        <v>35000</v>
      </c>
      <c r="F99" s="49">
        <v>5.59</v>
      </c>
      <c r="G99" s="49">
        <v>35548000</v>
      </c>
      <c r="H99" s="67">
        <v>1175000</v>
      </c>
      <c r="I99" s="67">
        <v>17200000</v>
      </c>
      <c r="J99" s="67">
        <v>4417000</v>
      </c>
      <c r="K99" s="68">
        <f t="shared" si="0"/>
        <v>0.2660176590446004</v>
      </c>
      <c r="L99" s="66">
        <f t="shared" si="1"/>
        <v>0.25680232558139537</v>
      </c>
      <c r="M99" s="49">
        <v>1</v>
      </c>
    </row>
    <row r="100" spans="1:13" x14ac:dyDescent="0.2">
      <c r="A100" s="49" t="s">
        <v>108</v>
      </c>
      <c r="B100" s="49">
        <v>22</v>
      </c>
      <c r="C100" s="66">
        <v>8.9800000000000005E-2</v>
      </c>
      <c r="D100" s="49">
        <v>14</v>
      </c>
      <c r="E100" s="49">
        <v>0</v>
      </c>
      <c r="F100" s="49">
        <v>6.21</v>
      </c>
      <c r="G100" s="49">
        <v>35760000</v>
      </c>
      <c r="H100" s="67">
        <v>1520000</v>
      </c>
      <c r="I100" s="67">
        <v>20001000</v>
      </c>
      <c r="J100" s="67">
        <v>4887000</v>
      </c>
      <c r="K100" s="68">
        <f t="shared" si="0"/>
        <v>0.3110292613055044</v>
      </c>
      <c r="L100" s="66">
        <f t="shared" si="1"/>
        <v>0.24433778311084445</v>
      </c>
      <c r="M100" s="49">
        <v>0</v>
      </c>
    </row>
    <row r="101" spans="1:13" x14ac:dyDescent="0.2">
      <c r="A101" s="49" t="s">
        <v>108</v>
      </c>
      <c r="B101" s="49">
        <v>23</v>
      </c>
      <c r="C101" s="66">
        <v>0.11210000000000001</v>
      </c>
      <c r="D101" s="49">
        <v>14.1</v>
      </c>
      <c r="E101" s="49">
        <v>0</v>
      </c>
      <c r="F101" s="49">
        <v>4.34</v>
      </c>
      <c r="G101" s="49">
        <v>38560000</v>
      </c>
      <c r="H101" s="67">
        <v>1496000</v>
      </c>
      <c r="I101" s="67">
        <v>19395000</v>
      </c>
      <c r="J101" s="67">
        <v>4841000</v>
      </c>
      <c r="K101" s="68">
        <f t="shared" si="0"/>
        <v>0.30902706052468498</v>
      </c>
      <c r="L101" s="66">
        <f t="shared" si="1"/>
        <v>0.24960041247744263</v>
      </c>
      <c r="M101" s="49">
        <v>0</v>
      </c>
    </row>
    <row r="102" spans="1:13" x14ac:dyDescent="0.2">
      <c r="A102" s="49" t="s">
        <v>110</v>
      </c>
      <c r="B102" s="49">
        <v>19</v>
      </c>
      <c r="C102" s="66">
        <v>0.11</v>
      </c>
      <c r="D102" s="49">
        <v>3</v>
      </c>
      <c r="E102" s="49">
        <v>0</v>
      </c>
      <c r="F102" s="49">
        <v>5.9</v>
      </c>
      <c r="G102" s="49">
        <v>24614000</v>
      </c>
      <c r="H102" s="67">
        <v>2011000</v>
      </c>
      <c r="I102" s="67">
        <v>36924000</v>
      </c>
      <c r="J102" s="67">
        <v>19462000</v>
      </c>
      <c r="K102" s="68">
        <f t="shared" si="0"/>
        <v>0.10332956530675162</v>
      </c>
      <c r="L102" s="66">
        <f t="shared" si="1"/>
        <v>0.52708265626692663</v>
      </c>
      <c r="M102" s="49">
        <v>0</v>
      </c>
    </row>
    <row r="103" spans="1:13" x14ac:dyDescent="0.2">
      <c r="A103" s="49" t="s">
        <v>110</v>
      </c>
      <c r="B103" s="49">
        <v>20</v>
      </c>
      <c r="C103" s="66">
        <v>0.11</v>
      </c>
      <c r="D103" s="49">
        <v>0.5</v>
      </c>
      <c r="E103" s="49">
        <v>0</v>
      </c>
      <c r="F103" s="49">
        <v>3.37</v>
      </c>
      <c r="G103" s="49">
        <v>24228000</v>
      </c>
      <c r="H103" s="67">
        <v>1951000</v>
      </c>
      <c r="I103" s="67">
        <v>36360000</v>
      </c>
      <c r="J103" s="67">
        <v>19294000</v>
      </c>
      <c r="K103" s="68">
        <f t="shared" si="0"/>
        <v>0.10111951902145745</v>
      </c>
      <c r="L103" s="66">
        <f t="shared" si="1"/>
        <v>0.53063806380638068</v>
      </c>
      <c r="M103" s="49">
        <v>0</v>
      </c>
    </row>
    <row r="104" spans="1:13" x14ac:dyDescent="0.2">
      <c r="A104" s="49" t="s">
        <v>110</v>
      </c>
      <c r="B104" s="49">
        <v>21</v>
      </c>
      <c r="C104" s="66">
        <v>0.1</v>
      </c>
      <c r="D104" s="49">
        <v>3.4</v>
      </c>
      <c r="E104" s="49">
        <v>0</v>
      </c>
      <c r="F104" s="49">
        <v>7.6</v>
      </c>
      <c r="G104" s="49">
        <v>26802000</v>
      </c>
      <c r="H104" s="67">
        <v>1952000</v>
      </c>
      <c r="I104" s="67">
        <v>37978000</v>
      </c>
      <c r="J104" s="67">
        <v>20041000</v>
      </c>
      <c r="K104" s="68">
        <f t="shared" si="0"/>
        <v>9.7400329324883989E-2</v>
      </c>
      <c r="L104" s="66">
        <f t="shared" si="1"/>
        <v>0.52770024751171729</v>
      </c>
      <c r="M104" s="49">
        <v>0</v>
      </c>
    </row>
    <row r="105" spans="1:13" x14ac:dyDescent="0.2">
      <c r="A105" s="49" t="s">
        <v>110</v>
      </c>
      <c r="B105" s="49">
        <v>22</v>
      </c>
      <c r="C105" s="66">
        <v>0.1</v>
      </c>
      <c r="D105" s="49">
        <v>14</v>
      </c>
      <c r="E105" s="49">
        <v>0</v>
      </c>
      <c r="F105" s="49">
        <v>14.23</v>
      </c>
      <c r="G105" s="49">
        <v>43754000</v>
      </c>
      <c r="H105" s="67">
        <v>2225000</v>
      </c>
      <c r="I105" s="67">
        <v>51415000</v>
      </c>
      <c r="J105" s="67">
        <v>29254000</v>
      </c>
      <c r="K105" s="68">
        <f t="shared" si="0"/>
        <v>7.6057974977780815E-2</v>
      </c>
      <c r="L105" s="66">
        <f t="shared" si="1"/>
        <v>0.56897792473013709</v>
      </c>
      <c r="M105" s="49">
        <v>0</v>
      </c>
    </row>
    <row r="106" spans="1:13" x14ac:dyDescent="0.2">
      <c r="A106" s="49" t="s">
        <v>110</v>
      </c>
      <c r="B106" s="49">
        <v>23</v>
      </c>
      <c r="C106" s="66">
        <v>9.9400000000000002E-2</v>
      </c>
      <c r="D106" s="49">
        <v>14.1</v>
      </c>
      <c r="E106" s="49">
        <v>0</v>
      </c>
      <c r="F106" s="49">
        <v>1.52</v>
      </c>
      <c r="G106" s="49">
        <v>40634000</v>
      </c>
      <c r="H106" s="67">
        <v>2215000</v>
      </c>
      <c r="I106" s="67">
        <v>47926000</v>
      </c>
      <c r="J106" s="67">
        <v>26945000</v>
      </c>
      <c r="K106" s="68">
        <f t="shared" si="0"/>
        <v>8.2204490629059199E-2</v>
      </c>
      <c r="L106" s="66">
        <f t="shared" si="1"/>
        <v>0.56222092392438339</v>
      </c>
      <c r="M106" s="49">
        <v>0</v>
      </c>
    </row>
    <row r="107" spans="1:13" x14ac:dyDescent="0.2">
      <c r="A107" s="49" t="s">
        <v>112</v>
      </c>
      <c r="B107" s="49">
        <v>19</v>
      </c>
      <c r="C107" s="66">
        <v>0.05</v>
      </c>
      <c r="D107" s="49">
        <v>3</v>
      </c>
      <c r="E107" s="49">
        <v>0</v>
      </c>
      <c r="F107" s="49" t="s">
        <v>403</v>
      </c>
      <c r="G107" s="49">
        <v>768347</v>
      </c>
      <c r="H107" s="67">
        <v>5300</v>
      </c>
      <c r="I107" s="67">
        <v>665900</v>
      </c>
      <c r="J107" s="67">
        <v>507872</v>
      </c>
      <c r="K107" s="68">
        <f t="shared" si="0"/>
        <v>1.0435700333942411E-2</v>
      </c>
      <c r="L107" s="66">
        <f t="shared" si="1"/>
        <v>0.76268508785102873</v>
      </c>
      <c r="M107" s="49">
        <v>0</v>
      </c>
    </row>
    <row r="108" spans="1:13" x14ac:dyDescent="0.2">
      <c r="A108" s="49" t="s">
        <v>112</v>
      </c>
      <c r="B108" s="49">
        <v>20</v>
      </c>
      <c r="C108" s="66">
        <v>8.6499999999999994E-2</v>
      </c>
      <c r="D108" s="49">
        <v>0.5</v>
      </c>
      <c r="E108" s="49">
        <v>0</v>
      </c>
      <c r="F108" s="49" t="s">
        <v>404</v>
      </c>
      <c r="G108" s="49">
        <v>748161</v>
      </c>
      <c r="H108" s="67">
        <v>5300</v>
      </c>
      <c r="I108" s="67">
        <v>1913282</v>
      </c>
      <c r="J108" s="67">
        <v>699349</v>
      </c>
      <c r="K108" s="68">
        <f t="shared" si="0"/>
        <v>7.5784765546243723E-3</v>
      </c>
      <c r="L108" s="66">
        <f t="shared" si="1"/>
        <v>0.36552322135471926</v>
      </c>
      <c r="M108" s="49">
        <v>0</v>
      </c>
    </row>
    <row r="109" spans="1:13" x14ac:dyDescent="0.2">
      <c r="A109" s="49" t="s">
        <v>112</v>
      </c>
      <c r="B109" s="49">
        <v>21</v>
      </c>
      <c r="C109" s="66">
        <v>7.7200000000000005E-2</v>
      </c>
      <c r="D109" s="49">
        <v>3.4</v>
      </c>
      <c r="E109" s="49">
        <v>0</v>
      </c>
      <c r="F109" s="49" t="s">
        <v>405</v>
      </c>
      <c r="G109" s="49">
        <v>796714</v>
      </c>
      <c r="H109" s="67">
        <v>149227</v>
      </c>
      <c r="I109" s="67">
        <v>2128054</v>
      </c>
      <c r="J109" s="67">
        <v>1877365</v>
      </c>
      <c r="K109" s="68">
        <f t="shared" si="0"/>
        <v>7.9487473133887127E-2</v>
      </c>
      <c r="L109" s="66">
        <f t="shared" si="1"/>
        <v>0.88219800813325222</v>
      </c>
      <c r="M109" s="49">
        <v>0</v>
      </c>
    </row>
    <row r="110" spans="1:13" x14ac:dyDescent="0.2">
      <c r="A110" s="49" t="s">
        <v>112</v>
      </c>
      <c r="B110" s="49">
        <v>22</v>
      </c>
      <c r="C110" s="66">
        <v>9.5399999999999999E-2</v>
      </c>
      <c r="D110" s="49">
        <v>14</v>
      </c>
      <c r="E110" s="49">
        <v>0</v>
      </c>
      <c r="F110" s="49" t="s">
        <v>406</v>
      </c>
      <c r="G110" s="49">
        <v>1131446</v>
      </c>
      <c r="H110" s="67">
        <v>171517</v>
      </c>
      <c r="I110" s="67">
        <v>2213966</v>
      </c>
      <c r="J110" s="67">
        <v>1972416</v>
      </c>
      <c r="K110" s="68">
        <f t="shared" si="0"/>
        <v>8.6957822284954092E-2</v>
      </c>
      <c r="L110" s="66">
        <f t="shared" si="1"/>
        <v>0.8908971501820715</v>
      </c>
      <c r="M110" s="49">
        <v>0</v>
      </c>
    </row>
    <row r="111" spans="1:13" x14ac:dyDescent="0.2">
      <c r="A111" s="49" t="s">
        <v>112</v>
      </c>
      <c r="B111" s="49">
        <v>23</v>
      </c>
      <c r="C111" s="66">
        <v>9.6500000000000002E-2</v>
      </c>
      <c r="D111" s="49">
        <v>14.1</v>
      </c>
      <c r="E111" s="49">
        <v>0</v>
      </c>
      <c r="F111" s="49" t="s">
        <v>407</v>
      </c>
      <c r="G111" s="49">
        <v>1298729</v>
      </c>
      <c r="H111" s="67">
        <v>165174</v>
      </c>
      <c r="I111" s="67">
        <v>2333190</v>
      </c>
      <c r="J111" s="67">
        <v>2030342</v>
      </c>
      <c r="K111" s="68">
        <f t="shared" si="0"/>
        <v>8.1352796720946516E-2</v>
      </c>
      <c r="L111" s="66">
        <f t="shared" si="1"/>
        <v>0.87020002657306095</v>
      </c>
      <c r="M111" s="49">
        <v>0</v>
      </c>
    </row>
    <row r="112" spans="1:13" x14ac:dyDescent="0.2">
      <c r="A112" s="49" t="s">
        <v>115</v>
      </c>
      <c r="B112" s="49">
        <v>19</v>
      </c>
      <c r="C112" s="66">
        <v>0.129</v>
      </c>
      <c r="D112" s="49">
        <v>3</v>
      </c>
      <c r="E112" s="49">
        <v>0</v>
      </c>
      <c r="F112" s="49">
        <v>19.510000000000002</v>
      </c>
      <c r="G112" s="49">
        <v>1104175</v>
      </c>
      <c r="H112" s="67">
        <v>315869</v>
      </c>
      <c r="I112" s="67">
        <v>1335687</v>
      </c>
      <c r="J112" s="67">
        <v>875503</v>
      </c>
      <c r="K112" s="68">
        <f t="shared" si="0"/>
        <v>0.36078574259597057</v>
      </c>
      <c r="L112" s="66">
        <f t="shared" si="1"/>
        <v>0.65547018126252632</v>
      </c>
      <c r="M112" s="49">
        <v>0</v>
      </c>
    </row>
    <row r="113" spans="1:13" x14ac:dyDescent="0.2">
      <c r="A113" s="49" t="s">
        <v>115</v>
      </c>
      <c r="B113" s="49">
        <v>20</v>
      </c>
      <c r="C113" s="66">
        <v>0.1172</v>
      </c>
      <c r="D113" s="49">
        <v>0.5</v>
      </c>
      <c r="E113" s="49">
        <v>0</v>
      </c>
      <c r="F113" s="49">
        <v>21.16</v>
      </c>
      <c r="G113" s="49">
        <v>1112785</v>
      </c>
      <c r="H113" s="67">
        <v>290209</v>
      </c>
      <c r="I113" s="67">
        <v>1434441</v>
      </c>
      <c r="J113" s="67">
        <v>990038</v>
      </c>
      <c r="K113" s="68">
        <f t="shared" si="0"/>
        <v>0.29312915261838435</v>
      </c>
      <c r="L113" s="66">
        <f t="shared" si="1"/>
        <v>0.69019081300659979</v>
      </c>
      <c r="M113" s="49">
        <v>0</v>
      </c>
    </row>
    <row r="114" spans="1:13" x14ac:dyDescent="0.2">
      <c r="A114" s="49" t="s">
        <v>115</v>
      </c>
      <c r="B114" s="49">
        <v>21</v>
      </c>
      <c r="C114" s="66">
        <v>9.98E-2</v>
      </c>
      <c r="D114" s="49">
        <v>3.4</v>
      </c>
      <c r="E114" s="49">
        <v>0</v>
      </c>
      <c r="F114" s="49">
        <v>23.21</v>
      </c>
      <c r="G114" s="49">
        <v>1249000</v>
      </c>
      <c r="H114" s="67"/>
      <c r="I114" s="67">
        <v>1992000</v>
      </c>
      <c r="J114" s="67">
        <v>1371000</v>
      </c>
      <c r="K114" s="68">
        <f t="shared" si="0"/>
        <v>0</v>
      </c>
      <c r="L114" s="66">
        <f t="shared" si="1"/>
        <v>0.68825301204819278</v>
      </c>
      <c r="M114" s="49">
        <v>0</v>
      </c>
    </row>
    <row r="115" spans="1:13" x14ac:dyDescent="0.2">
      <c r="A115" s="49" t="s">
        <v>115</v>
      </c>
      <c r="B115" s="49">
        <v>22</v>
      </c>
      <c r="C115" s="66">
        <v>0.122</v>
      </c>
      <c r="D115" s="49">
        <v>14</v>
      </c>
      <c r="E115" s="49">
        <v>0</v>
      </c>
      <c r="F115" s="49">
        <v>23.12</v>
      </c>
      <c r="G115" s="49">
        <v>1603000</v>
      </c>
      <c r="H115" s="67"/>
      <c r="I115" s="67">
        <v>2339000</v>
      </c>
      <c r="J115" s="67">
        <v>1637000</v>
      </c>
      <c r="K115" s="68">
        <f t="shared" si="0"/>
        <v>0</v>
      </c>
      <c r="L115" s="66">
        <f t="shared" si="1"/>
        <v>0.69987174005985464</v>
      </c>
      <c r="M115" s="49">
        <v>0</v>
      </c>
    </row>
    <row r="116" spans="1:13" x14ac:dyDescent="0.2">
      <c r="A116" s="49" t="s">
        <v>115</v>
      </c>
      <c r="B116" s="49">
        <v>23</v>
      </c>
      <c r="C116" s="66">
        <v>0.11260000000000001</v>
      </c>
      <c r="D116" s="49">
        <v>14.1</v>
      </c>
      <c r="E116" s="49">
        <v>0</v>
      </c>
      <c r="F116" s="49">
        <v>18.47</v>
      </c>
      <c r="G116" s="49">
        <v>1878000</v>
      </c>
      <c r="H116" s="67"/>
      <c r="I116" s="67">
        <v>4931000</v>
      </c>
      <c r="J116" s="67">
        <v>3657000</v>
      </c>
      <c r="K116" s="68">
        <f t="shared" si="0"/>
        <v>0</v>
      </c>
      <c r="L116" s="66">
        <f t="shared" si="1"/>
        <v>0.74163455688501323</v>
      </c>
      <c r="M116" s="49">
        <v>0</v>
      </c>
    </row>
    <row r="117" spans="1:13" x14ac:dyDescent="0.2">
      <c r="A117" s="49" t="s">
        <v>125</v>
      </c>
      <c r="B117" s="49">
        <v>19</v>
      </c>
      <c r="C117" s="66">
        <v>0.09</v>
      </c>
      <c r="D117" s="49">
        <v>3</v>
      </c>
      <c r="E117" s="49">
        <v>0</v>
      </c>
      <c r="F117" s="49">
        <v>15.24</v>
      </c>
      <c r="G117" s="49">
        <v>50290000</v>
      </c>
      <c r="H117" s="67">
        <v>3204000</v>
      </c>
      <c r="I117" s="67">
        <v>66424000</v>
      </c>
      <c r="J117" s="67">
        <v>41429000</v>
      </c>
      <c r="K117" s="68">
        <f t="shared" si="0"/>
        <v>7.7337130995196596E-2</v>
      </c>
      <c r="L117" s="66">
        <f t="shared" si="1"/>
        <v>0.62370528724557384</v>
      </c>
      <c r="M117" s="49">
        <v>0</v>
      </c>
    </row>
    <row r="118" spans="1:13" x14ac:dyDescent="0.2">
      <c r="A118" s="49" t="s">
        <v>125</v>
      </c>
      <c r="B118" s="49">
        <v>20</v>
      </c>
      <c r="C118" s="66">
        <v>0.09</v>
      </c>
      <c r="D118" s="49">
        <v>0.5</v>
      </c>
      <c r="E118" s="49">
        <v>0</v>
      </c>
      <c r="F118" s="49">
        <v>16.27</v>
      </c>
      <c r="G118" s="49">
        <v>56663000</v>
      </c>
      <c r="H118" s="67">
        <v>3077000</v>
      </c>
      <c r="I118" s="67">
        <v>72492000</v>
      </c>
      <c r="J118" s="67">
        <v>45625000</v>
      </c>
      <c r="K118" s="68">
        <f t="shared" si="0"/>
        <v>6.744109589041096E-2</v>
      </c>
      <c r="L118" s="66">
        <f t="shared" si="1"/>
        <v>0.62937979363240082</v>
      </c>
      <c r="M118" s="49">
        <v>0</v>
      </c>
    </row>
    <row r="119" spans="1:13" x14ac:dyDescent="0.2">
      <c r="A119" s="49" t="s">
        <v>125</v>
      </c>
      <c r="B119" s="49">
        <v>21</v>
      </c>
      <c r="C119" s="66">
        <v>0.09</v>
      </c>
      <c r="D119" s="49">
        <v>3.4</v>
      </c>
      <c r="E119" s="49">
        <v>0</v>
      </c>
      <c r="F119" s="49">
        <v>16.149999999999999</v>
      </c>
      <c r="G119" s="49">
        <v>69064000</v>
      </c>
      <c r="H119" s="67">
        <v>3153000</v>
      </c>
      <c r="I119" s="67">
        <v>80549000</v>
      </c>
      <c r="J119" s="67">
        <v>50867000</v>
      </c>
      <c r="K119" s="68">
        <f t="shared" si="0"/>
        <v>6.1985177030294693E-2</v>
      </c>
      <c r="L119" s="66">
        <f t="shared" si="1"/>
        <v>0.63150380513724569</v>
      </c>
      <c r="M119" s="49">
        <v>0</v>
      </c>
    </row>
    <row r="120" spans="1:13" x14ac:dyDescent="0.2">
      <c r="A120" s="49" t="s">
        <v>125</v>
      </c>
      <c r="B120" s="49">
        <v>22</v>
      </c>
      <c r="C120" s="66">
        <v>0.09</v>
      </c>
      <c r="D120" s="49">
        <v>14</v>
      </c>
      <c r="E120" s="49">
        <v>0</v>
      </c>
      <c r="F120" s="49">
        <v>18.45</v>
      </c>
      <c r="G120" s="49">
        <v>87343000</v>
      </c>
      <c r="H120" s="67">
        <v>3295000</v>
      </c>
      <c r="I120" s="67">
        <v>96376000</v>
      </c>
      <c r="J120" s="67">
        <v>58311000</v>
      </c>
      <c r="K120" s="68">
        <f t="shared" si="0"/>
        <v>5.6507348527722046E-2</v>
      </c>
      <c r="L120" s="66">
        <f t="shared" si="1"/>
        <v>0.60503652361583793</v>
      </c>
      <c r="M120" s="49">
        <v>0</v>
      </c>
    </row>
    <row r="121" spans="1:13" x14ac:dyDescent="0.2">
      <c r="A121" s="49" t="s">
        <v>125</v>
      </c>
      <c r="B121" s="49">
        <v>23</v>
      </c>
      <c r="C121" s="66">
        <v>0.09</v>
      </c>
      <c r="D121" s="49">
        <v>14.1</v>
      </c>
      <c r="E121" s="49">
        <v>0</v>
      </c>
      <c r="F121" s="49">
        <v>11.21</v>
      </c>
      <c r="G121" s="49">
        <v>79465000</v>
      </c>
      <c r="H121" s="67">
        <v>3240000</v>
      </c>
      <c r="I121" s="67">
        <f>1.02*(10^8)</f>
        <v>102000000</v>
      </c>
      <c r="J121" s="67">
        <v>56404000</v>
      </c>
      <c r="K121" s="68">
        <f t="shared" si="0"/>
        <v>5.7442734557832775E-2</v>
      </c>
      <c r="L121" s="66">
        <f t="shared" si="1"/>
        <v>0.55298039215686279</v>
      </c>
      <c r="M121" s="49">
        <v>0</v>
      </c>
    </row>
    <row r="122" spans="1:13" x14ac:dyDescent="0.2">
      <c r="A122" s="49" t="s">
        <v>127</v>
      </c>
      <c r="B122" s="49">
        <v>19</v>
      </c>
      <c r="C122" s="66">
        <v>0.105</v>
      </c>
      <c r="D122" s="49">
        <v>3</v>
      </c>
      <c r="E122" s="49">
        <v>0</v>
      </c>
      <c r="F122" s="49">
        <v>3.08</v>
      </c>
      <c r="G122" s="49">
        <v>3424900</v>
      </c>
      <c r="H122" s="67">
        <v>9800</v>
      </c>
      <c r="I122" s="67">
        <v>2487200</v>
      </c>
      <c r="J122" s="67">
        <v>942500</v>
      </c>
      <c r="K122" s="68">
        <f t="shared" si="0"/>
        <v>1.0397877984084881E-2</v>
      </c>
      <c r="L122" s="66">
        <f t="shared" si="1"/>
        <v>0.37894017368928917</v>
      </c>
      <c r="M122" s="49">
        <v>0</v>
      </c>
    </row>
    <row r="123" spans="1:13" x14ac:dyDescent="0.2">
      <c r="A123" s="49" t="s">
        <v>127</v>
      </c>
      <c r="B123" s="49">
        <v>20</v>
      </c>
      <c r="C123" s="66">
        <v>0.105</v>
      </c>
      <c r="D123" s="49">
        <v>0.5</v>
      </c>
      <c r="E123" s="49">
        <v>0</v>
      </c>
      <c r="F123" s="49">
        <v>4.18</v>
      </c>
      <c r="G123" s="49">
        <v>4359300</v>
      </c>
      <c r="H123" s="67">
        <v>9400</v>
      </c>
      <c r="I123" s="67">
        <v>4031800</v>
      </c>
      <c r="J123" s="67">
        <v>1908100</v>
      </c>
      <c r="K123" s="68">
        <f t="shared" si="0"/>
        <v>4.9263665426340338E-3</v>
      </c>
      <c r="L123" s="66">
        <f t="shared" si="1"/>
        <v>0.47326256262711441</v>
      </c>
      <c r="M123" s="49">
        <v>0</v>
      </c>
    </row>
    <row r="124" spans="1:13" x14ac:dyDescent="0.2">
      <c r="A124" s="49" t="s">
        <v>127</v>
      </c>
      <c r="B124" s="49">
        <v>21</v>
      </c>
      <c r="C124" s="66">
        <v>0.10299999999999999</v>
      </c>
      <c r="D124" s="49">
        <v>3.4</v>
      </c>
      <c r="E124" s="49">
        <v>0</v>
      </c>
      <c r="F124" s="49">
        <v>4.55</v>
      </c>
      <c r="G124" s="49">
        <v>5818500</v>
      </c>
      <c r="H124" s="67">
        <v>275500</v>
      </c>
      <c r="I124" s="67">
        <v>5057800</v>
      </c>
      <c r="J124" s="67">
        <v>2176500</v>
      </c>
      <c r="K124" s="68">
        <f t="shared" si="0"/>
        <v>0.12657937054904664</v>
      </c>
      <c r="L124" s="66">
        <f t="shared" si="1"/>
        <v>0.43032543793744316</v>
      </c>
      <c r="M124" s="49">
        <v>0</v>
      </c>
    </row>
    <row r="125" spans="1:13" x14ac:dyDescent="0.2">
      <c r="A125" s="49" t="s">
        <v>127</v>
      </c>
      <c r="B125" s="49">
        <v>22</v>
      </c>
      <c r="C125" s="66">
        <v>0.114</v>
      </c>
      <c r="D125" s="49">
        <v>14</v>
      </c>
      <c r="E125" s="49">
        <v>0</v>
      </c>
      <c r="F125" s="49">
        <v>4.2300000000000004</v>
      </c>
      <c r="G125" s="49">
        <v>6747900</v>
      </c>
      <c r="H125" s="67">
        <v>299800</v>
      </c>
      <c r="I125" s="67">
        <v>5992200</v>
      </c>
      <c r="J125" s="67">
        <v>2502600</v>
      </c>
      <c r="K125" s="68">
        <f t="shared" si="0"/>
        <v>0.11979541277071845</v>
      </c>
      <c r="L125" s="66">
        <f t="shared" si="1"/>
        <v>0.41764293581656153</v>
      </c>
      <c r="M125" s="49">
        <v>0</v>
      </c>
    </row>
    <row r="126" spans="1:13" x14ac:dyDescent="0.2">
      <c r="A126" s="49" t="s">
        <v>127</v>
      </c>
      <c r="B126" s="49">
        <v>23</v>
      </c>
      <c r="C126" s="66">
        <v>0.11700000000000001</v>
      </c>
      <c r="D126" s="49">
        <v>14.1</v>
      </c>
      <c r="E126" s="49">
        <v>0</v>
      </c>
      <c r="F126" s="49">
        <v>4.18</v>
      </c>
      <c r="G126" s="49">
        <v>7755000</v>
      </c>
      <c r="H126" s="67">
        <v>298000</v>
      </c>
      <c r="I126" s="67">
        <v>5959000</v>
      </c>
      <c r="J126" s="67">
        <v>2721000</v>
      </c>
      <c r="K126" s="68">
        <f t="shared" si="0"/>
        <v>0.10951855935317897</v>
      </c>
      <c r="L126" s="66">
        <f t="shared" si="1"/>
        <v>0.45662023829501597</v>
      </c>
      <c r="M126" s="49">
        <v>0</v>
      </c>
    </row>
    <row r="127" spans="1:13" x14ac:dyDescent="0.2">
      <c r="A127" s="49" t="s">
        <v>129</v>
      </c>
      <c r="B127" s="49">
        <v>19</v>
      </c>
      <c r="C127" s="66">
        <v>7.0999999999999994E-2</v>
      </c>
      <c r="D127" s="49">
        <v>3</v>
      </c>
      <c r="E127" s="49">
        <v>0</v>
      </c>
      <c r="F127" s="49">
        <v>6.03</v>
      </c>
      <c r="G127" s="49">
        <v>20404000</v>
      </c>
      <c r="H127" s="67">
        <v>8731000</v>
      </c>
      <c r="I127" s="67">
        <v>16510000</v>
      </c>
      <c r="J127" s="67">
        <v>5586000</v>
      </c>
      <c r="K127" s="68">
        <f t="shared" si="0"/>
        <v>1.5630146795560329</v>
      </c>
      <c r="L127" s="66">
        <f t="shared" si="1"/>
        <v>0.33834039975772257</v>
      </c>
      <c r="M127" s="49">
        <v>0</v>
      </c>
    </row>
    <row r="128" spans="1:13" x14ac:dyDescent="0.2">
      <c r="A128" s="49" t="s">
        <v>129</v>
      </c>
      <c r="B128" s="49">
        <v>20</v>
      </c>
      <c r="C128" s="66">
        <v>7.9000000000000001E-2</v>
      </c>
      <c r="D128" s="49">
        <v>0.5</v>
      </c>
      <c r="E128" s="49">
        <v>0</v>
      </c>
      <c r="F128" s="49">
        <v>6.44</v>
      </c>
      <c r="G128" s="49">
        <v>21147000</v>
      </c>
      <c r="H128" s="67">
        <v>8904000</v>
      </c>
      <c r="I128" s="67">
        <v>17053000</v>
      </c>
      <c r="J128" s="67">
        <v>5855000</v>
      </c>
      <c r="K128" s="68">
        <f t="shared" si="0"/>
        <v>1.5207514944491887</v>
      </c>
      <c r="L128" s="66">
        <f t="shared" si="1"/>
        <v>0.34334134756347856</v>
      </c>
      <c r="M128" s="49">
        <v>0</v>
      </c>
    </row>
    <row r="129" spans="1:13" x14ac:dyDescent="0.2">
      <c r="A129" s="49" t="s">
        <v>129</v>
      </c>
      <c r="B129" s="49">
        <v>21</v>
      </c>
      <c r="C129" s="66">
        <v>7.3999999999999996E-2</v>
      </c>
      <c r="D129" s="49">
        <v>3.4</v>
      </c>
      <c r="E129" s="49">
        <v>0</v>
      </c>
      <c r="F129" s="49">
        <v>7.35</v>
      </c>
      <c r="G129" s="49">
        <v>21876000</v>
      </c>
      <c r="H129" s="67">
        <v>9500000</v>
      </c>
      <c r="I129" s="67">
        <v>19516000</v>
      </c>
      <c r="J129" s="67">
        <v>6815000</v>
      </c>
      <c r="K129" s="68">
        <f t="shared" si="0"/>
        <v>1.3939838591342626</v>
      </c>
      <c r="L129" s="66">
        <f t="shared" si="1"/>
        <v>0.34920065587210491</v>
      </c>
      <c r="M129" s="49">
        <v>0</v>
      </c>
    </row>
    <row r="130" spans="1:13" x14ac:dyDescent="0.2">
      <c r="A130" s="49" t="s">
        <v>129</v>
      </c>
      <c r="B130" s="49">
        <v>22</v>
      </c>
      <c r="C130" s="66">
        <v>0.109</v>
      </c>
      <c r="D130" s="49">
        <v>14</v>
      </c>
      <c r="E130" s="49">
        <v>0</v>
      </c>
      <c r="F130" s="49">
        <v>6.53</v>
      </c>
      <c r="G130" s="49">
        <v>26303000</v>
      </c>
      <c r="H130" s="67">
        <v>10439000</v>
      </c>
      <c r="I130" s="67">
        <v>22472000</v>
      </c>
      <c r="J130" s="67">
        <v>7895000</v>
      </c>
      <c r="K130" s="68">
        <f t="shared" si="0"/>
        <v>1.3222292590246991</v>
      </c>
      <c r="L130" s="66">
        <f t="shared" si="1"/>
        <v>0.3513260946956212</v>
      </c>
      <c r="M130" s="49">
        <v>0</v>
      </c>
    </row>
    <row r="131" spans="1:13" x14ac:dyDescent="0.2">
      <c r="A131" s="49" t="s">
        <v>129</v>
      </c>
      <c r="B131" s="49">
        <v>23</v>
      </c>
      <c r="C131" s="66">
        <v>0.106</v>
      </c>
      <c r="D131" s="49">
        <v>14.1</v>
      </c>
      <c r="E131" s="49">
        <v>0</v>
      </c>
      <c r="F131" s="49">
        <v>6.04</v>
      </c>
      <c r="G131" s="49">
        <v>29423000</v>
      </c>
      <c r="H131" s="67">
        <v>11000000</v>
      </c>
      <c r="I131" s="67">
        <v>24333000</v>
      </c>
      <c r="J131" s="67">
        <v>8229000</v>
      </c>
      <c r="K131" s="68">
        <f t="shared" si="0"/>
        <v>1.3367359338923319</v>
      </c>
      <c r="L131" s="66">
        <f t="shared" si="1"/>
        <v>0.33818271483171003</v>
      </c>
      <c r="M131" s="49">
        <v>0</v>
      </c>
    </row>
    <row r="132" spans="1:13" x14ac:dyDescent="0.2">
      <c r="A132" s="49" t="s">
        <v>133</v>
      </c>
      <c r="B132" s="49">
        <v>19</v>
      </c>
      <c r="C132" s="66">
        <v>7.4999999999999997E-2</v>
      </c>
      <c r="D132" s="49">
        <v>3</v>
      </c>
      <c r="E132" s="49">
        <v>0</v>
      </c>
      <c r="F132" s="49">
        <v>9.02</v>
      </c>
      <c r="G132" s="49">
        <v>4387000</v>
      </c>
      <c r="H132" s="67">
        <v>1771000</v>
      </c>
      <c r="I132" s="67">
        <v>5250000</v>
      </c>
      <c r="J132" s="67">
        <v>1749000</v>
      </c>
      <c r="K132" s="68">
        <f t="shared" si="0"/>
        <v>1.0125786163522013</v>
      </c>
      <c r="L132" s="66">
        <f t="shared" si="1"/>
        <v>0.33314285714285713</v>
      </c>
      <c r="M132" s="49">
        <v>0</v>
      </c>
    </row>
    <row r="133" spans="1:13" x14ac:dyDescent="0.2">
      <c r="A133" s="49" t="s">
        <v>133</v>
      </c>
      <c r="B133" s="49">
        <v>20</v>
      </c>
      <c r="C133" s="66">
        <v>0.08</v>
      </c>
      <c r="D133" s="49">
        <v>0.5</v>
      </c>
      <c r="E133" s="49">
        <v>0</v>
      </c>
      <c r="F133" s="49">
        <v>9.57</v>
      </c>
      <c r="G133" s="49">
        <v>4811000</v>
      </c>
      <c r="H133" s="67">
        <v>216000</v>
      </c>
      <c r="I133" s="67">
        <v>4991000</v>
      </c>
      <c r="J133" s="67">
        <v>1931000</v>
      </c>
      <c r="K133" s="68">
        <f t="shared" si="0"/>
        <v>0.11185914034179181</v>
      </c>
      <c r="L133" s="66">
        <f t="shared" si="1"/>
        <v>0.38689641354437987</v>
      </c>
      <c r="M133" s="49">
        <v>0</v>
      </c>
    </row>
    <row r="134" spans="1:13" x14ac:dyDescent="0.2">
      <c r="A134" s="49" t="s">
        <v>133</v>
      </c>
      <c r="B134" s="49">
        <v>21</v>
      </c>
      <c r="C134" s="66">
        <v>0.08</v>
      </c>
      <c r="D134" s="49">
        <v>3.4</v>
      </c>
      <c r="E134" s="49">
        <v>0</v>
      </c>
      <c r="F134" s="49">
        <v>11.31</v>
      </c>
      <c r="G134" s="49">
        <v>5915000</v>
      </c>
      <c r="H134" s="67">
        <v>1994000</v>
      </c>
      <c r="I134" s="67">
        <v>6573000</v>
      </c>
      <c r="J134" s="67">
        <v>2377000</v>
      </c>
      <c r="K134" s="68">
        <f t="shared" si="0"/>
        <v>0.83887252839713922</v>
      </c>
      <c r="L134" s="66">
        <f t="shared" si="1"/>
        <v>0.3616309143465693</v>
      </c>
      <c r="M134" s="49">
        <v>0</v>
      </c>
    </row>
    <row r="135" spans="1:13" x14ac:dyDescent="0.2">
      <c r="A135" s="49" t="s">
        <v>133</v>
      </c>
      <c r="B135" s="49">
        <v>22</v>
      </c>
      <c r="C135" s="66">
        <v>0.08</v>
      </c>
      <c r="D135" s="49">
        <v>14</v>
      </c>
      <c r="E135" s="49">
        <v>0</v>
      </c>
      <c r="F135" s="49">
        <v>11.21</v>
      </c>
      <c r="G135" s="49">
        <v>8660000</v>
      </c>
      <c r="H135" s="67">
        <v>2857000</v>
      </c>
      <c r="I135" s="67">
        <v>9436000</v>
      </c>
      <c r="J135" s="67">
        <v>3036000</v>
      </c>
      <c r="K135" s="68">
        <f t="shared" si="0"/>
        <v>0.94104084321475623</v>
      </c>
      <c r="L135" s="66">
        <f t="shared" si="1"/>
        <v>0.32174650275540484</v>
      </c>
      <c r="M135" s="49">
        <v>0</v>
      </c>
    </row>
    <row r="136" spans="1:13" x14ac:dyDescent="0.2">
      <c r="A136" s="49" t="s">
        <v>133</v>
      </c>
      <c r="B136" s="49">
        <v>23</v>
      </c>
      <c r="C136" s="66">
        <v>9.9000000000000005E-2</v>
      </c>
      <c r="D136" s="49">
        <v>14.1</v>
      </c>
      <c r="E136" s="49">
        <v>0</v>
      </c>
      <c r="F136" s="49">
        <v>11.39</v>
      </c>
      <c r="G136" s="49">
        <v>8736000</v>
      </c>
      <c r="H136" s="67">
        <v>2842000</v>
      </c>
      <c r="I136" s="67">
        <v>8600000</v>
      </c>
      <c r="J136" s="67">
        <v>3418000</v>
      </c>
      <c r="K136" s="68">
        <f t="shared" si="0"/>
        <v>0.83148039789350492</v>
      </c>
      <c r="L136" s="66">
        <f t="shared" si="1"/>
        <v>0.39744186046511626</v>
      </c>
      <c r="M136" s="49">
        <v>0</v>
      </c>
    </row>
    <row r="137" spans="1:13" x14ac:dyDescent="0.2">
      <c r="A137" s="49" t="s">
        <v>135</v>
      </c>
      <c r="B137" s="49">
        <v>19</v>
      </c>
      <c r="C137" s="66">
        <v>7.2999999999999995E-2</v>
      </c>
      <c r="D137" s="49">
        <v>3</v>
      </c>
      <c r="E137" s="49">
        <v>0</v>
      </c>
      <c r="F137" s="49">
        <v>5.03</v>
      </c>
      <c r="G137" s="49">
        <v>5286900</v>
      </c>
      <c r="H137" s="67">
        <v>1808300</v>
      </c>
      <c r="I137" s="67">
        <v>5044500</v>
      </c>
      <c r="J137" s="67">
        <v>1500800</v>
      </c>
      <c r="K137" s="68">
        <f t="shared" si="0"/>
        <v>1.2048907249466951</v>
      </c>
      <c r="L137" s="66">
        <f t="shared" si="1"/>
        <v>0.29751214193676279</v>
      </c>
      <c r="M137" s="49">
        <v>0</v>
      </c>
    </row>
    <row r="138" spans="1:13" x14ac:dyDescent="0.2">
      <c r="A138" s="49" t="s">
        <v>135</v>
      </c>
      <c r="B138" s="49">
        <v>20</v>
      </c>
      <c r="C138" s="66">
        <v>8.7999999999999995E-2</v>
      </c>
      <c r="D138" s="49">
        <v>0.5</v>
      </c>
      <c r="E138" s="49">
        <v>0</v>
      </c>
      <c r="F138" s="49">
        <v>10.119999999999999</v>
      </c>
      <c r="G138" s="49">
        <v>6827000</v>
      </c>
      <c r="H138" s="67">
        <v>2006000</v>
      </c>
      <c r="I138" s="67">
        <v>4933000</v>
      </c>
      <c r="J138" s="67">
        <v>1968000</v>
      </c>
      <c r="K138" s="68">
        <f t="shared" si="0"/>
        <v>1.0193089430894309</v>
      </c>
      <c r="L138" s="66">
        <f t="shared" si="1"/>
        <v>0.39894587472126497</v>
      </c>
      <c r="M138" s="49">
        <v>0</v>
      </c>
    </row>
    <row r="139" spans="1:13" x14ac:dyDescent="0.2">
      <c r="A139" s="49" t="s">
        <v>135</v>
      </c>
      <c r="B139" s="49">
        <v>21</v>
      </c>
      <c r="C139" s="66">
        <v>8.5999999999999993E-2</v>
      </c>
      <c r="D139" s="49">
        <v>3.4</v>
      </c>
      <c r="E139" s="49">
        <v>0</v>
      </c>
      <c r="F139" s="49">
        <v>11.25</v>
      </c>
      <c r="G139" s="49">
        <v>7670000</v>
      </c>
      <c r="H139" s="67">
        <v>1963000</v>
      </c>
      <c r="I139" s="67">
        <v>6073000</v>
      </c>
      <c r="J139" s="67">
        <v>2252000</v>
      </c>
      <c r="K139" s="68">
        <f t="shared" si="0"/>
        <v>0.87166962699822381</v>
      </c>
      <c r="L139" s="66">
        <f t="shared" si="1"/>
        <v>0.37082166968549318</v>
      </c>
      <c r="M139" s="49">
        <v>0</v>
      </c>
    </row>
    <row r="140" spans="1:13" x14ac:dyDescent="0.2">
      <c r="A140" s="49" t="s">
        <v>135</v>
      </c>
      <c r="B140" s="49">
        <v>22</v>
      </c>
      <c r="C140" s="66">
        <v>0.105</v>
      </c>
      <c r="D140" s="49">
        <v>14</v>
      </c>
      <c r="E140" s="49">
        <v>0</v>
      </c>
      <c r="F140" s="49">
        <v>7.18</v>
      </c>
      <c r="G140" s="49">
        <v>7298000</v>
      </c>
      <c r="H140" s="67">
        <v>2024000</v>
      </c>
      <c r="I140" s="67">
        <v>6508000</v>
      </c>
      <c r="J140" s="67">
        <v>2361000</v>
      </c>
      <c r="K140" s="68">
        <f t="shared" si="0"/>
        <v>0.85726387124099956</v>
      </c>
      <c r="L140" s="66">
        <f t="shared" si="1"/>
        <v>0.36278426551936077</v>
      </c>
      <c r="M140" s="49">
        <v>0</v>
      </c>
    </row>
    <row r="141" spans="1:13" x14ac:dyDescent="0.2">
      <c r="A141" s="49" t="s">
        <v>135</v>
      </c>
      <c r="B141" s="49">
        <v>23</v>
      </c>
      <c r="C141" s="66">
        <v>0.154</v>
      </c>
      <c r="D141" s="49">
        <v>14.1</v>
      </c>
      <c r="E141" s="49">
        <v>0</v>
      </c>
      <c r="F141" s="49">
        <v>3.15</v>
      </c>
      <c r="G141" s="49">
        <v>6152000</v>
      </c>
      <c r="H141" s="67">
        <v>2015000</v>
      </c>
      <c r="I141" s="67">
        <v>6165000</v>
      </c>
      <c r="J141" s="67">
        <v>2361000</v>
      </c>
      <c r="K141" s="68">
        <f t="shared" si="0"/>
        <v>0.8534519271495129</v>
      </c>
      <c r="L141" s="66">
        <f t="shared" si="1"/>
        <v>0.38296836982968369</v>
      </c>
      <c r="M141" s="49">
        <v>0</v>
      </c>
    </row>
    <row r="142" spans="1:13" x14ac:dyDescent="0.2">
      <c r="A142" s="49" t="s">
        <v>138</v>
      </c>
      <c r="B142" s="49">
        <v>19</v>
      </c>
      <c r="C142" s="66">
        <v>0.104</v>
      </c>
      <c r="D142" s="49">
        <v>3</v>
      </c>
      <c r="E142" s="49">
        <v>0</v>
      </c>
      <c r="F142" s="69">
        <v>36859</v>
      </c>
      <c r="G142" s="49">
        <v>461772</v>
      </c>
      <c r="H142" s="67">
        <v>115121</v>
      </c>
      <c r="I142" s="67">
        <v>641709</v>
      </c>
      <c r="J142" s="67">
        <v>348373</v>
      </c>
      <c r="K142" s="68">
        <f t="shared" si="0"/>
        <v>0.3304532785261774</v>
      </c>
      <c r="L142" s="66">
        <f t="shared" si="1"/>
        <v>0.54288314485226175</v>
      </c>
      <c r="M142" s="49">
        <v>0</v>
      </c>
    </row>
    <row r="143" spans="1:13" x14ac:dyDescent="0.2">
      <c r="A143" s="49" t="s">
        <v>138</v>
      </c>
      <c r="B143" s="49">
        <v>20</v>
      </c>
      <c r="C143" s="66">
        <v>0.104</v>
      </c>
      <c r="D143" s="49">
        <v>0.5</v>
      </c>
      <c r="E143" s="49">
        <v>0</v>
      </c>
      <c r="F143" s="49">
        <v>24.9</v>
      </c>
      <c r="G143" s="49">
        <v>471443</v>
      </c>
      <c r="H143" s="67">
        <v>111972</v>
      </c>
      <c r="I143" s="67">
        <v>668025</v>
      </c>
      <c r="J143" s="67">
        <v>429617</v>
      </c>
      <c r="K143" s="68">
        <f t="shared" si="0"/>
        <v>0.26063214444493582</v>
      </c>
      <c r="L143" s="66">
        <f t="shared" si="1"/>
        <v>0.64311515287601517</v>
      </c>
      <c r="M143" s="49">
        <v>0</v>
      </c>
    </row>
    <row r="144" spans="1:13" x14ac:dyDescent="0.2">
      <c r="A144" s="49" t="s">
        <v>138</v>
      </c>
      <c r="B144" s="49">
        <v>21</v>
      </c>
      <c r="C144" s="66">
        <v>0.104</v>
      </c>
      <c r="D144" s="49">
        <v>3.4</v>
      </c>
      <c r="E144" s="49">
        <v>0</v>
      </c>
      <c r="F144" s="49" t="s">
        <v>408</v>
      </c>
      <c r="G144" s="49">
        <v>565552</v>
      </c>
      <c r="H144" s="67">
        <v>114085</v>
      </c>
      <c r="I144" s="67">
        <v>825212</v>
      </c>
      <c r="J144" s="67">
        <v>543280</v>
      </c>
      <c r="K144" s="68">
        <f t="shared" si="0"/>
        <v>0.20999300544838756</v>
      </c>
      <c r="L144" s="66">
        <f t="shared" si="1"/>
        <v>0.65835203559812505</v>
      </c>
      <c r="M144" s="49">
        <v>0</v>
      </c>
    </row>
    <row r="145" spans="1:13" x14ac:dyDescent="0.2">
      <c r="A145" s="49" t="s">
        <v>138</v>
      </c>
      <c r="B145" s="49">
        <v>22</v>
      </c>
      <c r="C145" s="66">
        <v>9.4E-2</v>
      </c>
      <c r="D145" s="49">
        <v>14</v>
      </c>
      <c r="E145" s="49">
        <v>0</v>
      </c>
      <c r="F145" s="70">
        <v>36611</v>
      </c>
      <c r="G145" s="49">
        <v>639340</v>
      </c>
      <c r="H145" s="67">
        <v>124141</v>
      </c>
      <c r="I145" s="67">
        <v>891748</v>
      </c>
      <c r="J145" s="67">
        <v>641628</v>
      </c>
      <c r="K145" s="68">
        <f t="shared" si="0"/>
        <v>0.19347815244970606</v>
      </c>
      <c r="L145" s="66">
        <f t="shared" si="1"/>
        <v>0.71951717301300366</v>
      </c>
      <c r="M145" s="49">
        <v>0</v>
      </c>
    </row>
    <row r="146" spans="1:13" x14ac:dyDescent="0.2">
      <c r="A146" s="49" t="s">
        <v>138</v>
      </c>
      <c r="B146" s="49">
        <v>23</v>
      </c>
      <c r="C146" s="66">
        <v>0.10100000000000001</v>
      </c>
      <c r="D146" s="49">
        <v>14.1</v>
      </c>
      <c r="E146" s="49">
        <v>0</v>
      </c>
      <c r="F146" s="49" t="s">
        <v>409</v>
      </c>
      <c r="G146" s="49">
        <v>677292</v>
      </c>
      <c r="H146" s="67">
        <v>123780</v>
      </c>
      <c r="I146" s="67">
        <v>928712</v>
      </c>
      <c r="J146" s="67">
        <v>716389</v>
      </c>
      <c r="K146" s="68">
        <f t="shared" si="0"/>
        <v>0.17278322252295888</v>
      </c>
      <c r="L146" s="66">
        <f t="shared" si="1"/>
        <v>0.77137907122983229</v>
      </c>
      <c r="M146" s="49">
        <v>0</v>
      </c>
    </row>
    <row r="147" spans="1:13" x14ac:dyDescent="0.2">
      <c r="A147" s="49" t="s">
        <v>141</v>
      </c>
      <c r="B147" s="49">
        <v>19</v>
      </c>
      <c r="C147" s="66">
        <v>0.108</v>
      </c>
      <c r="D147" s="49">
        <v>3</v>
      </c>
      <c r="E147" s="49">
        <v>0</v>
      </c>
      <c r="G147" s="49">
        <v>838758</v>
      </c>
      <c r="H147" s="67">
        <v>1053369</v>
      </c>
      <c r="I147" s="67">
        <v>2010770</v>
      </c>
      <c r="J147" s="67">
        <v>1123484</v>
      </c>
      <c r="K147" s="68">
        <f t="shared" si="0"/>
        <v>0.93759145657615062</v>
      </c>
      <c r="L147" s="66">
        <f t="shared" si="1"/>
        <v>0.55873322160167493</v>
      </c>
      <c r="M147" s="49">
        <v>0</v>
      </c>
    </row>
    <row r="148" spans="1:13" x14ac:dyDescent="0.2">
      <c r="A148" s="49" t="s">
        <v>141</v>
      </c>
      <c r="B148" s="49">
        <v>20</v>
      </c>
      <c r="C148" s="66">
        <v>0.108</v>
      </c>
      <c r="D148" s="49">
        <v>0.5</v>
      </c>
      <c r="E148" s="49">
        <v>0</v>
      </c>
      <c r="F148" s="49">
        <v>6.43</v>
      </c>
      <c r="G148" s="49">
        <v>1050200</v>
      </c>
      <c r="H148" s="67">
        <v>1010594</v>
      </c>
      <c r="I148" s="67">
        <v>2003890</v>
      </c>
      <c r="J148" s="67">
        <v>1396403</v>
      </c>
      <c r="K148" s="68">
        <f t="shared" si="0"/>
        <v>0.72371228076708516</v>
      </c>
      <c r="L148" s="66">
        <f t="shared" si="1"/>
        <v>0.69684613426884712</v>
      </c>
      <c r="M148" s="49">
        <v>0</v>
      </c>
    </row>
    <row r="149" spans="1:13" x14ac:dyDescent="0.2">
      <c r="A149" s="49" t="s">
        <v>141</v>
      </c>
      <c r="B149" s="49">
        <v>21</v>
      </c>
      <c r="C149" s="66">
        <v>9.0999999999999998E-2</v>
      </c>
      <c r="D149" s="49">
        <v>3.4</v>
      </c>
      <c r="E149" s="49">
        <v>0</v>
      </c>
      <c r="G149" s="49">
        <v>1533240</v>
      </c>
      <c r="H149" s="67">
        <v>9280734</v>
      </c>
      <c r="I149" s="67">
        <v>14880340</v>
      </c>
      <c r="J149" s="67">
        <v>11766576</v>
      </c>
      <c r="K149" s="68">
        <f t="shared" si="0"/>
        <v>0.78873701236451454</v>
      </c>
      <c r="L149" s="66">
        <f t="shared" si="1"/>
        <v>0.79074644799782801</v>
      </c>
      <c r="M149" s="49">
        <v>0</v>
      </c>
    </row>
    <row r="150" spans="1:13" x14ac:dyDescent="0.2">
      <c r="A150" s="49" t="s">
        <v>141</v>
      </c>
      <c r="B150" s="49">
        <v>22</v>
      </c>
      <c r="C150" s="66">
        <v>0.111</v>
      </c>
      <c r="D150" s="49">
        <v>14</v>
      </c>
      <c r="E150" s="49">
        <v>340769</v>
      </c>
      <c r="G150" s="49">
        <v>3465987</v>
      </c>
      <c r="H150" s="67">
        <v>6670055</v>
      </c>
      <c r="I150" s="67">
        <v>12851240</v>
      </c>
      <c r="J150" s="67">
        <v>9453619</v>
      </c>
      <c r="K150" s="68">
        <f t="shared" si="0"/>
        <v>0.70555572421524493</v>
      </c>
      <c r="L150" s="66">
        <f t="shared" si="1"/>
        <v>0.73561920873005249</v>
      </c>
      <c r="M150" s="49">
        <v>1</v>
      </c>
    </row>
    <row r="151" spans="1:13" x14ac:dyDescent="0.2">
      <c r="A151" s="49" t="s">
        <v>141</v>
      </c>
      <c r="B151" s="49">
        <v>23</v>
      </c>
      <c r="C151" s="66">
        <v>0.13100000000000001</v>
      </c>
      <c r="D151" s="49">
        <v>14.1</v>
      </c>
      <c r="E151" s="49">
        <v>412213</v>
      </c>
      <c r="G151" s="49">
        <v>3161972</v>
      </c>
      <c r="H151" s="67">
        <v>1726083</v>
      </c>
      <c r="I151" s="67">
        <v>6945375</v>
      </c>
      <c r="J151" s="67">
        <v>4060848</v>
      </c>
      <c r="K151" s="68">
        <f t="shared" si="0"/>
        <v>0.42505481613692508</v>
      </c>
      <c r="L151" s="66">
        <f t="shared" si="1"/>
        <v>0.58468376437557368</v>
      </c>
      <c r="M151" s="49">
        <v>1</v>
      </c>
    </row>
    <row r="152" spans="1:13" x14ac:dyDescent="0.2">
      <c r="A152" s="49" t="s">
        <v>149</v>
      </c>
      <c r="B152" s="49">
        <v>19</v>
      </c>
      <c r="C152" s="66">
        <v>7.1999999999999995E-2</v>
      </c>
      <c r="D152" s="49">
        <v>3</v>
      </c>
      <c r="E152" s="49">
        <v>0</v>
      </c>
      <c r="F152" s="49">
        <v>11.23</v>
      </c>
      <c r="G152" s="49">
        <v>6493000</v>
      </c>
      <c r="H152" s="67">
        <v>2400000</v>
      </c>
      <c r="I152" s="67">
        <v>9660000</v>
      </c>
      <c r="J152" s="67">
        <v>4197000</v>
      </c>
      <c r="K152" s="68">
        <f t="shared" si="0"/>
        <v>0.57183702644746248</v>
      </c>
      <c r="L152" s="66">
        <f t="shared" si="1"/>
        <v>0.43447204968944098</v>
      </c>
      <c r="M152" s="49">
        <v>0</v>
      </c>
    </row>
    <row r="153" spans="1:13" x14ac:dyDescent="0.2">
      <c r="A153" s="49" t="s">
        <v>149</v>
      </c>
      <c r="B153" s="49">
        <v>20</v>
      </c>
      <c r="C153" s="66">
        <v>6.5000000000000002E-2</v>
      </c>
      <c r="D153" s="49">
        <v>0.5</v>
      </c>
      <c r="E153" s="49">
        <v>0</v>
      </c>
      <c r="F153" s="49">
        <v>8.17</v>
      </c>
      <c r="G153" s="49">
        <v>5695000</v>
      </c>
      <c r="H153" s="67">
        <v>2347000</v>
      </c>
      <c r="I153" s="67">
        <v>9257000</v>
      </c>
      <c r="J153" s="67">
        <v>4179000</v>
      </c>
      <c r="K153" s="68">
        <f t="shared" si="0"/>
        <v>0.56161761186886816</v>
      </c>
      <c r="L153" s="66">
        <f t="shared" si="1"/>
        <v>0.45144215188505993</v>
      </c>
      <c r="M153" s="49">
        <v>0</v>
      </c>
    </row>
    <row r="154" spans="1:13" x14ac:dyDescent="0.2">
      <c r="A154" s="49" t="s">
        <v>149</v>
      </c>
      <c r="B154" s="49">
        <v>21</v>
      </c>
      <c r="C154" s="66">
        <v>6.7000000000000004E-2</v>
      </c>
      <c r="D154" s="49">
        <v>3.4</v>
      </c>
      <c r="E154" s="49">
        <v>0</v>
      </c>
      <c r="F154" s="49">
        <v>10.039999999999999</v>
      </c>
      <c r="G154" s="49">
        <v>6046000</v>
      </c>
      <c r="H154" s="67">
        <v>2391000</v>
      </c>
      <c r="I154" s="67">
        <v>9549000</v>
      </c>
      <c r="J154" s="67">
        <v>4515000</v>
      </c>
      <c r="K154" s="68">
        <f t="shared" si="0"/>
        <v>0.52956810631229234</v>
      </c>
      <c r="L154" s="66">
        <f t="shared" si="1"/>
        <v>0.47282437951617973</v>
      </c>
      <c r="M154" s="49">
        <v>0</v>
      </c>
    </row>
    <row r="155" spans="1:13" x14ac:dyDescent="0.2">
      <c r="A155" s="49" t="s">
        <v>149</v>
      </c>
      <c r="B155" s="49">
        <v>22</v>
      </c>
      <c r="C155" s="66">
        <v>0.11</v>
      </c>
      <c r="D155" s="49">
        <v>14</v>
      </c>
      <c r="E155" s="49">
        <v>0</v>
      </c>
      <c r="F155" s="49">
        <v>8.39</v>
      </c>
      <c r="G155" s="49">
        <v>6869000</v>
      </c>
      <c r="H155" s="67">
        <v>2570000</v>
      </c>
      <c r="I155" s="67">
        <v>10316000</v>
      </c>
      <c r="J155" s="67">
        <v>4994000</v>
      </c>
      <c r="K155" s="68">
        <f t="shared" si="0"/>
        <v>0.51461754104925916</v>
      </c>
      <c r="L155" s="66">
        <f t="shared" si="1"/>
        <v>0.48410236525785189</v>
      </c>
      <c r="M155" s="49">
        <v>0</v>
      </c>
    </row>
    <row r="156" spans="1:13" x14ac:dyDescent="0.2">
      <c r="A156" s="49" t="s">
        <v>149</v>
      </c>
      <c r="B156" s="49">
        <v>23</v>
      </c>
      <c r="C156" s="66">
        <v>0.108</v>
      </c>
      <c r="D156" s="49">
        <v>14.1</v>
      </c>
      <c r="E156" s="49">
        <v>0</v>
      </c>
      <c r="F156" s="49">
        <v>10.4</v>
      </c>
      <c r="G156" s="49">
        <v>8301000</v>
      </c>
      <c r="H156" s="67">
        <v>2565000</v>
      </c>
      <c r="I156" s="67">
        <v>10683000</v>
      </c>
      <c r="J156" s="67">
        <v>5098000</v>
      </c>
      <c r="K156" s="68">
        <f t="shared" si="0"/>
        <v>0.50313848568065911</v>
      </c>
      <c r="L156" s="66">
        <f t="shared" si="1"/>
        <v>0.47720677712253112</v>
      </c>
      <c r="M156" s="49">
        <v>0</v>
      </c>
    </row>
    <row r="157" spans="1:13" x14ac:dyDescent="0.2">
      <c r="A157" s="49" t="s">
        <v>151</v>
      </c>
      <c r="B157" s="49">
        <v>19</v>
      </c>
      <c r="C157" s="66">
        <v>7.0000000000000007E-2</v>
      </c>
      <c r="D157" s="49">
        <v>3</v>
      </c>
      <c r="E157" s="49">
        <v>0</v>
      </c>
      <c r="F157" s="49" t="s">
        <v>410</v>
      </c>
      <c r="G157" s="49">
        <v>2106000</v>
      </c>
      <c r="H157" s="67">
        <v>656000</v>
      </c>
      <c r="I157" s="67">
        <v>2119000</v>
      </c>
      <c r="J157" s="67">
        <v>1136000</v>
      </c>
      <c r="K157" s="68">
        <f t="shared" si="0"/>
        <v>0.57746478873239437</v>
      </c>
      <c r="L157" s="66">
        <f t="shared" si="1"/>
        <v>0.53610193487494096</v>
      </c>
      <c r="M157" s="49">
        <v>0</v>
      </c>
    </row>
    <row r="158" spans="1:13" x14ac:dyDescent="0.2">
      <c r="A158" s="49" t="s">
        <v>151</v>
      </c>
      <c r="B158" s="49">
        <v>20</v>
      </c>
      <c r="C158" s="66">
        <v>5.6000000000000001E-2</v>
      </c>
      <c r="D158" s="49">
        <v>0.5</v>
      </c>
      <c r="E158" s="49">
        <v>0</v>
      </c>
      <c r="F158" s="49">
        <v>18.510000000000002</v>
      </c>
      <c r="G158" s="49">
        <v>1583000</v>
      </c>
      <c r="H158" s="67">
        <v>649000</v>
      </c>
      <c r="I158" s="67">
        <v>2047000</v>
      </c>
      <c r="J158" s="67">
        <v>1067000</v>
      </c>
      <c r="K158" s="68">
        <f t="shared" si="0"/>
        <v>0.60824742268041232</v>
      </c>
      <c r="L158" s="66">
        <f t="shared" si="1"/>
        <v>0.52125061064973133</v>
      </c>
      <c r="M158" s="49">
        <v>0</v>
      </c>
    </row>
    <row r="159" spans="1:13" x14ac:dyDescent="0.2">
      <c r="A159" s="49" t="s">
        <v>151</v>
      </c>
      <c r="B159" s="49">
        <v>21</v>
      </c>
      <c r="C159" s="66">
        <v>7.5999999999999998E-2</v>
      </c>
      <c r="D159" s="49">
        <v>3.4</v>
      </c>
      <c r="E159" s="49">
        <v>0</v>
      </c>
      <c r="F159" s="49">
        <v>19.239999999999998</v>
      </c>
      <c r="G159" s="49">
        <v>2236000</v>
      </c>
      <c r="H159" s="67">
        <v>1303000</v>
      </c>
      <c r="I159" s="67">
        <v>3783000</v>
      </c>
      <c r="J159" s="67">
        <v>1462000</v>
      </c>
      <c r="K159" s="68">
        <f t="shared" si="0"/>
        <v>0.89124487004103969</v>
      </c>
      <c r="L159" s="66">
        <f t="shared" si="1"/>
        <v>0.38646576790906689</v>
      </c>
      <c r="M159" s="49">
        <v>0</v>
      </c>
    </row>
    <row r="160" spans="1:13" x14ac:dyDescent="0.2">
      <c r="A160" s="49" t="s">
        <v>151</v>
      </c>
      <c r="B160" s="49">
        <v>22</v>
      </c>
      <c r="C160" s="66">
        <v>9.7000000000000003E-2</v>
      </c>
      <c r="D160" s="49">
        <v>14</v>
      </c>
      <c r="E160" s="49">
        <v>0</v>
      </c>
      <c r="F160" s="49">
        <v>17.11</v>
      </c>
      <c r="G160" s="49">
        <v>4160000</v>
      </c>
      <c r="H160" s="67">
        <v>1455000</v>
      </c>
      <c r="I160" s="67">
        <v>4495000</v>
      </c>
      <c r="J160" s="67">
        <v>2070000</v>
      </c>
      <c r="K160" s="68">
        <f t="shared" si="0"/>
        <v>0.70289855072463769</v>
      </c>
      <c r="L160" s="66">
        <f t="shared" si="1"/>
        <v>0.46051167964404893</v>
      </c>
      <c r="M160" s="49">
        <v>0</v>
      </c>
    </row>
    <row r="161" spans="1:13" x14ac:dyDescent="0.2">
      <c r="A161" s="49" t="s">
        <v>151</v>
      </c>
      <c r="B161" s="49">
        <v>23</v>
      </c>
      <c r="C161" s="66">
        <v>0.1</v>
      </c>
      <c r="D161" s="49">
        <v>14.1</v>
      </c>
      <c r="E161" s="49">
        <v>0</v>
      </c>
      <c r="F161" s="49">
        <v>14.6</v>
      </c>
      <c r="G161" s="49">
        <v>4324000</v>
      </c>
      <c r="H161" s="67">
        <v>1422000</v>
      </c>
      <c r="I161" s="67">
        <v>4306000</v>
      </c>
      <c r="J161" s="67">
        <v>2181000</v>
      </c>
      <c r="K161" s="68">
        <f t="shared" si="0"/>
        <v>0.65199449793672626</v>
      </c>
      <c r="L161" s="66">
        <f t="shared" si="1"/>
        <v>0.50650255457501159</v>
      </c>
      <c r="M161" s="49">
        <v>0</v>
      </c>
    </row>
    <row r="162" spans="1:13" x14ac:dyDescent="0.2">
      <c r="A162" s="49" t="s">
        <v>153</v>
      </c>
      <c r="B162" s="49">
        <v>19</v>
      </c>
      <c r="C162" s="66">
        <v>9.4200000000000006E-2</v>
      </c>
      <c r="D162" s="49">
        <v>3</v>
      </c>
      <c r="E162" s="49">
        <v>0</v>
      </c>
      <c r="F162" s="49">
        <v>13.21</v>
      </c>
      <c r="G162" s="49">
        <v>18571000</v>
      </c>
      <c r="H162" s="67">
        <v>14832000</v>
      </c>
      <c r="I162" s="67">
        <v>36681000</v>
      </c>
      <c r="J162" s="67">
        <v>17363000</v>
      </c>
      <c r="K162" s="68">
        <f t="shared" si="0"/>
        <v>0.85423025974773947</v>
      </c>
      <c r="L162" s="66">
        <f t="shared" si="1"/>
        <v>0.47335132629971921</v>
      </c>
      <c r="M162" s="49">
        <v>0</v>
      </c>
    </row>
    <row r="163" spans="1:13" x14ac:dyDescent="0.2">
      <c r="A163" s="49" t="s">
        <v>153</v>
      </c>
      <c r="B163" s="49">
        <v>20</v>
      </c>
      <c r="C163" s="66">
        <v>8.4099999999999994E-2</v>
      </c>
      <c r="D163" s="49">
        <v>0.5</v>
      </c>
      <c r="E163" s="49">
        <v>0</v>
      </c>
      <c r="F163" s="49">
        <v>12.04</v>
      </c>
      <c r="G163" s="49">
        <v>16271000</v>
      </c>
      <c r="H163" s="67">
        <v>13545000</v>
      </c>
      <c r="I163" s="67">
        <v>37615000</v>
      </c>
      <c r="J163" s="67">
        <v>16201000</v>
      </c>
      <c r="K163" s="68">
        <f t="shared" si="0"/>
        <v>0.83605950249984573</v>
      </c>
      <c r="L163" s="66">
        <f t="shared" si="1"/>
        <v>0.43070583543799018</v>
      </c>
      <c r="M163" s="49">
        <v>0</v>
      </c>
    </row>
    <row r="164" spans="1:13" x14ac:dyDescent="0.2">
      <c r="A164" s="49" t="s">
        <v>153</v>
      </c>
      <c r="B164" s="49">
        <v>21</v>
      </c>
      <c r="C164" s="66">
        <v>8.1600000000000006E-2</v>
      </c>
      <c r="D164" s="49">
        <v>3.4</v>
      </c>
      <c r="E164" s="49">
        <v>0</v>
      </c>
      <c r="F164" s="49">
        <v>13.33</v>
      </c>
      <c r="G164" s="49">
        <v>21594000</v>
      </c>
      <c r="H164" s="67">
        <v>20503000</v>
      </c>
      <c r="I164" s="67">
        <v>52030000</v>
      </c>
      <c r="J164" s="67">
        <v>22447000</v>
      </c>
      <c r="K164" s="68">
        <f t="shared" si="0"/>
        <v>0.91339599946540739</v>
      </c>
      <c r="L164" s="66">
        <f t="shared" si="1"/>
        <v>0.43142417835863922</v>
      </c>
      <c r="M164" s="49">
        <v>0</v>
      </c>
    </row>
    <row r="165" spans="1:13" x14ac:dyDescent="0.2">
      <c r="A165" s="49" t="s">
        <v>153</v>
      </c>
      <c r="B165" s="49">
        <v>22</v>
      </c>
      <c r="C165" s="66">
        <v>0.12720000000000001</v>
      </c>
      <c r="D165" s="49">
        <v>14</v>
      </c>
      <c r="E165" s="49">
        <v>0</v>
      </c>
      <c r="F165" s="49">
        <v>10.28</v>
      </c>
      <c r="G165" s="49">
        <v>29908000</v>
      </c>
      <c r="H165" s="67">
        <v>22086000</v>
      </c>
      <c r="I165" s="67">
        <v>57451000</v>
      </c>
      <c r="J165" s="67">
        <v>26415000</v>
      </c>
      <c r="K165" s="68">
        <f t="shared" si="0"/>
        <v>0.83611584327086885</v>
      </c>
      <c r="L165" s="66">
        <f t="shared" si="1"/>
        <v>0.45978311952794554</v>
      </c>
      <c r="M165" s="49">
        <v>0</v>
      </c>
    </row>
    <row r="166" spans="1:13" x14ac:dyDescent="0.2">
      <c r="A166" s="49" t="s">
        <v>153</v>
      </c>
      <c r="B166" s="49">
        <v>23</v>
      </c>
      <c r="C166" s="66">
        <v>9.6000000000000002E-2</v>
      </c>
      <c r="D166" s="49">
        <v>14.1</v>
      </c>
      <c r="E166" s="49">
        <v>0</v>
      </c>
      <c r="F166" s="49">
        <v>10.26</v>
      </c>
      <c r="G166" s="49">
        <v>27775000</v>
      </c>
      <c r="H166" s="67">
        <v>21267</v>
      </c>
      <c r="I166" s="67">
        <v>54119000</v>
      </c>
      <c r="J166" s="67">
        <v>25992000</v>
      </c>
      <c r="K166" s="68">
        <f t="shared" si="0"/>
        <v>8.1821329639889201E-4</v>
      </c>
      <c r="L166" s="66">
        <f t="shared" si="1"/>
        <v>0.48027494964799794</v>
      </c>
      <c r="M166" s="49">
        <v>0</v>
      </c>
    </row>
    <row r="167" spans="1:13" x14ac:dyDescent="0.2">
      <c r="A167" s="49" t="s">
        <v>155</v>
      </c>
      <c r="B167" s="49">
        <v>19</v>
      </c>
      <c r="C167" s="66">
        <v>7.9000000000000001E-2</v>
      </c>
      <c r="D167" s="49">
        <v>3</v>
      </c>
      <c r="E167" s="49">
        <v>58000</v>
      </c>
      <c r="F167" s="49">
        <v>7.39</v>
      </c>
      <c r="G167" s="49">
        <v>5571000</v>
      </c>
      <c r="H167" s="67">
        <v>2054000</v>
      </c>
      <c r="I167" s="67">
        <v>6245000</v>
      </c>
      <c r="J167" s="67">
        <v>2563000</v>
      </c>
      <c r="K167" s="68">
        <f t="shared" si="0"/>
        <v>0.80140460397971125</v>
      </c>
      <c r="L167" s="66">
        <f t="shared" si="1"/>
        <v>0.41040832666132904</v>
      </c>
      <c r="M167" s="49">
        <v>1</v>
      </c>
    </row>
    <row r="168" spans="1:13" x14ac:dyDescent="0.2">
      <c r="A168" s="49" t="s">
        <v>155</v>
      </c>
      <c r="B168" s="49">
        <v>20</v>
      </c>
      <c r="C168" s="66">
        <v>9.4E-2</v>
      </c>
      <c r="D168" s="49">
        <v>0.5</v>
      </c>
      <c r="E168" s="49">
        <v>0</v>
      </c>
      <c r="F168" s="49">
        <v>1.6</v>
      </c>
      <c r="G168" s="49">
        <v>4622000</v>
      </c>
      <c r="H168" s="67">
        <v>2011000</v>
      </c>
      <c r="I168" s="67">
        <v>5780000</v>
      </c>
      <c r="J168" s="67">
        <v>2542000</v>
      </c>
      <c r="K168" s="68">
        <f t="shared" si="0"/>
        <v>0.79110936270653032</v>
      </c>
      <c r="L168" s="66">
        <f t="shared" si="1"/>
        <v>0.43979238754325262</v>
      </c>
      <c r="M168" s="49">
        <v>0</v>
      </c>
    </row>
    <row r="169" spans="1:13" x14ac:dyDescent="0.2">
      <c r="A169" s="49" t="s">
        <v>155</v>
      </c>
      <c r="B169" s="49">
        <v>21</v>
      </c>
      <c r="C169" s="66">
        <v>9.7000000000000003E-2</v>
      </c>
      <c r="D169" s="49">
        <v>3.4</v>
      </c>
      <c r="E169" s="49">
        <v>21000</v>
      </c>
      <c r="F169" s="49">
        <v>3.42</v>
      </c>
      <c r="G169" s="49">
        <v>5195000</v>
      </c>
      <c r="H169" s="67">
        <v>2010000</v>
      </c>
      <c r="I169" s="67">
        <v>6396000</v>
      </c>
      <c r="J169" s="67">
        <v>2628000</v>
      </c>
      <c r="K169" s="68">
        <f t="shared" si="0"/>
        <v>0.76484018264840181</v>
      </c>
      <c r="L169" s="66">
        <f t="shared" si="1"/>
        <v>0.41088180112570355</v>
      </c>
      <c r="M169" s="49">
        <v>1</v>
      </c>
    </row>
    <row r="170" spans="1:13" x14ac:dyDescent="0.2">
      <c r="A170" s="49" t="s">
        <v>155</v>
      </c>
      <c r="B170" s="49">
        <v>22</v>
      </c>
      <c r="C170" s="66">
        <v>0.11600000000000001</v>
      </c>
      <c r="D170" s="49">
        <v>14</v>
      </c>
      <c r="E170" s="49">
        <v>0</v>
      </c>
      <c r="F170" s="49">
        <v>5.27</v>
      </c>
      <c r="G170" s="49">
        <v>7056000</v>
      </c>
      <c r="H170" s="67">
        <v>2136000</v>
      </c>
      <c r="I170" s="67">
        <v>7339000</v>
      </c>
      <c r="J170" s="67">
        <v>3211000</v>
      </c>
      <c r="K170" s="68">
        <f t="shared" si="0"/>
        <v>0.66521332918094056</v>
      </c>
      <c r="L170" s="66">
        <f t="shared" si="1"/>
        <v>0.43752554843984193</v>
      </c>
      <c r="M170" s="49">
        <v>0</v>
      </c>
    </row>
    <row r="171" spans="1:13" x14ac:dyDescent="0.2">
      <c r="A171" s="49" t="s">
        <v>155</v>
      </c>
      <c r="B171" s="49">
        <v>23</v>
      </c>
      <c r="C171" s="66">
        <v>0.125</v>
      </c>
      <c r="D171" s="49">
        <v>14.1</v>
      </c>
      <c r="E171" s="49">
        <v>0</v>
      </c>
      <c r="F171" s="49">
        <v>9.25</v>
      </c>
      <c r="G171" s="49">
        <v>7764000</v>
      </c>
      <c r="H171" s="67">
        <v>2110000</v>
      </c>
      <c r="I171" s="67">
        <v>6913000</v>
      </c>
      <c r="J171" s="67">
        <v>3422000</v>
      </c>
      <c r="K171" s="68">
        <f t="shared" si="0"/>
        <v>0.61659848042080656</v>
      </c>
      <c r="L171" s="66">
        <f t="shared" si="1"/>
        <v>0.49500940257485898</v>
      </c>
      <c r="M171" s="49">
        <v>0</v>
      </c>
    </row>
    <row r="172" spans="1:13" x14ac:dyDescent="0.2">
      <c r="A172" s="49" t="s">
        <v>157</v>
      </c>
      <c r="B172" s="49">
        <v>19</v>
      </c>
      <c r="C172" s="66">
        <v>8.2000000000000003E-2</v>
      </c>
      <c r="D172" s="49">
        <v>3</v>
      </c>
      <c r="E172" s="49">
        <v>0</v>
      </c>
      <c r="F172" s="49">
        <v>4.3099999999999996</v>
      </c>
      <c r="G172" s="49">
        <v>12543300</v>
      </c>
      <c r="H172" s="67">
        <v>3839800</v>
      </c>
      <c r="I172" s="67">
        <v>7268300</v>
      </c>
      <c r="J172" s="67">
        <v>2460300</v>
      </c>
      <c r="K172" s="68">
        <f t="shared" si="0"/>
        <v>1.5607039791895296</v>
      </c>
      <c r="L172" s="66">
        <f t="shared" si="1"/>
        <v>0.33849731023760715</v>
      </c>
      <c r="M172" s="49">
        <v>0</v>
      </c>
    </row>
    <row r="173" spans="1:13" x14ac:dyDescent="0.2">
      <c r="A173" s="49" t="s">
        <v>157</v>
      </c>
      <c r="B173" s="49">
        <v>20</v>
      </c>
      <c r="C173" s="66">
        <v>8.2000000000000003E-2</v>
      </c>
      <c r="D173" s="49">
        <v>0.5</v>
      </c>
      <c r="E173" s="49">
        <v>0</v>
      </c>
      <c r="F173" s="49">
        <v>3.35</v>
      </c>
      <c r="G173" s="49">
        <v>13209900</v>
      </c>
      <c r="H173" s="67">
        <v>3706500</v>
      </c>
      <c r="I173" s="67">
        <v>7776100</v>
      </c>
      <c r="J173" s="67">
        <v>2455600</v>
      </c>
      <c r="K173" s="68">
        <f t="shared" si="0"/>
        <v>1.5094070695553021</v>
      </c>
      <c r="L173" s="66">
        <f t="shared" si="1"/>
        <v>0.31578812000874473</v>
      </c>
      <c r="M173" s="49">
        <v>0</v>
      </c>
    </row>
    <row r="174" spans="1:13" x14ac:dyDescent="0.2">
      <c r="A174" s="49" t="s">
        <v>157</v>
      </c>
      <c r="B174" s="49">
        <v>21</v>
      </c>
      <c r="C174" s="66">
        <v>8.5000000000000006E-2</v>
      </c>
      <c r="D174" s="49">
        <v>3.4</v>
      </c>
      <c r="E174" s="49">
        <v>0</v>
      </c>
      <c r="F174" s="49">
        <v>4.04</v>
      </c>
      <c r="G174" s="49">
        <v>15891700</v>
      </c>
      <c r="H174" s="67">
        <v>7752700</v>
      </c>
      <c r="I174" s="67">
        <v>14317200</v>
      </c>
      <c r="J174" s="67">
        <v>4676400</v>
      </c>
      <c r="K174" s="68">
        <f t="shared" si="0"/>
        <v>1.6578350868189204</v>
      </c>
      <c r="L174" s="66">
        <f t="shared" si="1"/>
        <v>0.32662811164194117</v>
      </c>
      <c r="M174" s="49">
        <v>0</v>
      </c>
    </row>
    <row r="175" spans="1:13" x14ac:dyDescent="0.2">
      <c r="A175" s="49" t="s">
        <v>157</v>
      </c>
      <c r="B175" s="49">
        <v>22</v>
      </c>
      <c r="C175" s="66">
        <v>8.8999999999999996E-2</v>
      </c>
      <c r="D175" s="49">
        <v>14</v>
      </c>
      <c r="E175" s="49">
        <v>0</v>
      </c>
      <c r="F175" s="49">
        <v>3.22</v>
      </c>
      <c r="G175" s="49">
        <v>23621400</v>
      </c>
      <c r="H175" s="67">
        <v>8097000</v>
      </c>
      <c r="I175" s="67">
        <v>15854900</v>
      </c>
      <c r="J175" s="67">
        <v>5085100</v>
      </c>
      <c r="K175" s="68">
        <f t="shared" si="0"/>
        <v>1.5922990698314685</v>
      </c>
      <c r="L175" s="66">
        <f t="shared" si="1"/>
        <v>0.32072734612012688</v>
      </c>
      <c r="M175" s="49">
        <v>0</v>
      </c>
    </row>
    <row r="176" spans="1:13" x14ac:dyDescent="0.2">
      <c r="A176" s="49" t="s">
        <v>157</v>
      </c>
      <c r="B176" s="49">
        <v>23</v>
      </c>
      <c r="C176" s="66">
        <v>8.8999999999999996E-2</v>
      </c>
      <c r="D176" s="49">
        <v>14.1</v>
      </c>
      <c r="E176" s="49">
        <v>0</v>
      </c>
      <c r="F176" s="49">
        <v>2.02</v>
      </c>
      <c r="G176" s="49">
        <v>23623900</v>
      </c>
      <c r="H176" s="67">
        <v>8746300</v>
      </c>
      <c r="I176" s="67">
        <v>16133100</v>
      </c>
      <c r="J176" s="67">
        <v>5394300</v>
      </c>
      <c r="K176" s="68">
        <f t="shared" si="0"/>
        <v>1.621396659436813</v>
      </c>
      <c r="L176" s="66">
        <f t="shared" si="1"/>
        <v>0.33436227383453893</v>
      </c>
      <c r="M176" s="49">
        <v>0</v>
      </c>
    </row>
    <row r="177" spans="1:13" x14ac:dyDescent="0.2">
      <c r="A177" s="49" t="s">
        <v>168</v>
      </c>
      <c r="B177" s="49">
        <v>19</v>
      </c>
      <c r="C177" s="66">
        <v>0.08</v>
      </c>
      <c r="D177" s="49">
        <v>3</v>
      </c>
      <c r="E177" s="49">
        <v>0</v>
      </c>
      <c r="F177" s="49">
        <v>30.2</v>
      </c>
      <c r="G177" s="49">
        <v>599700</v>
      </c>
      <c r="H177" s="67">
        <v>14700</v>
      </c>
      <c r="I177" s="67">
        <v>1428900</v>
      </c>
      <c r="J177" s="67">
        <v>1081800</v>
      </c>
      <c r="K177" s="68">
        <f t="shared" si="0"/>
        <v>1.3588463671658347E-2</v>
      </c>
      <c r="L177" s="66">
        <f t="shared" si="1"/>
        <v>0.75708587024984253</v>
      </c>
      <c r="M177" s="49">
        <v>0</v>
      </c>
    </row>
    <row r="178" spans="1:13" x14ac:dyDescent="0.2">
      <c r="A178" s="49" t="s">
        <v>168</v>
      </c>
      <c r="B178" s="49">
        <v>20</v>
      </c>
      <c r="C178" s="66">
        <v>0.08</v>
      </c>
      <c r="D178" s="49">
        <v>0.5</v>
      </c>
      <c r="E178" s="49">
        <v>0</v>
      </c>
      <c r="F178" s="49" t="s">
        <v>411</v>
      </c>
      <c r="G178" s="49">
        <v>7111308</v>
      </c>
      <c r="H178" s="67">
        <v>153525</v>
      </c>
      <c r="I178" s="67">
        <v>16282659</v>
      </c>
      <c r="J178" s="67">
        <v>12671314</v>
      </c>
      <c r="K178" s="68">
        <f t="shared" si="0"/>
        <v>1.2115949458753843E-2</v>
      </c>
      <c r="L178" s="66">
        <f t="shared" si="1"/>
        <v>0.77820913648071854</v>
      </c>
      <c r="M178" s="49">
        <v>0</v>
      </c>
    </row>
    <row r="179" spans="1:13" x14ac:dyDescent="0.2">
      <c r="A179" s="49" t="s">
        <v>168</v>
      </c>
      <c r="B179" s="49">
        <v>21</v>
      </c>
      <c r="C179" s="66">
        <v>0.08</v>
      </c>
      <c r="D179" s="49">
        <v>3.4</v>
      </c>
      <c r="E179" s="49">
        <v>0</v>
      </c>
      <c r="F179" s="49" t="s">
        <v>412</v>
      </c>
      <c r="G179" s="49">
        <v>16359479</v>
      </c>
      <c r="H179" s="67">
        <v>8571301</v>
      </c>
      <c r="I179" s="67">
        <v>39891093</v>
      </c>
      <c r="J179" s="67">
        <v>30164583</v>
      </c>
      <c r="K179" s="68">
        <f t="shared" si="0"/>
        <v>0.284151151699992</v>
      </c>
      <c r="L179" s="66">
        <f t="shared" si="1"/>
        <v>0.75617338938293821</v>
      </c>
      <c r="M179" s="49">
        <v>0</v>
      </c>
    </row>
    <row r="180" spans="1:13" x14ac:dyDescent="0.2">
      <c r="A180" s="49" t="s">
        <v>168</v>
      </c>
      <c r="B180" s="49">
        <v>22</v>
      </c>
      <c r="C180" s="66">
        <v>8.7999999999999995E-2</v>
      </c>
      <c r="D180" s="49">
        <v>14</v>
      </c>
      <c r="E180" s="49">
        <v>0</v>
      </c>
      <c r="F180" s="70">
        <v>36672</v>
      </c>
      <c r="G180" s="49">
        <v>16652671</v>
      </c>
      <c r="H180" s="67">
        <v>24158774</v>
      </c>
      <c r="I180" s="67">
        <f>1.068*(10^8)</f>
        <v>106800000</v>
      </c>
      <c r="J180" s="67">
        <v>71165062</v>
      </c>
      <c r="K180" s="68">
        <f t="shared" si="0"/>
        <v>0.33947520484138693</v>
      </c>
      <c r="L180" s="66">
        <f t="shared" si="1"/>
        <v>0.666339531835206</v>
      </c>
      <c r="M180" s="49">
        <v>0</v>
      </c>
    </row>
    <row r="181" spans="1:13" x14ac:dyDescent="0.2">
      <c r="A181" s="49" t="s">
        <v>168</v>
      </c>
      <c r="B181" s="49">
        <v>23</v>
      </c>
      <c r="C181" s="66">
        <v>0.112</v>
      </c>
      <c r="D181" s="49">
        <v>14.1</v>
      </c>
      <c r="E181" s="49">
        <v>0</v>
      </c>
      <c r="F181" s="49">
        <v>14.38</v>
      </c>
      <c r="G181" s="49">
        <v>23129612</v>
      </c>
      <c r="H181" s="67">
        <v>23663330</v>
      </c>
      <c r="I181" s="67">
        <f>1.022*(10^8)</f>
        <v>102200000</v>
      </c>
      <c r="J181" s="67">
        <v>66615946</v>
      </c>
      <c r="K181" s="68">
        <f t="shared" si="0"/>
        <v>0.35522020508423013</v>
      </c>
      <c r="L181" s="66">
        <f t="shared" si="1"/>
        <v>0.65181943248532292</v>
      </c>
      <c r="M181" s="49">
        <v>0</v>
      </c>
    </row>
    <row r="182" spans="1:13" x14ac:dyDescent="0.2">
      <c r="A182" s="49" t="s">
        <v>160</v>
      </c>
      <c r="B182" s="49">
        <v>19</v>
      </c>
      <c r="C182" s="66">
        <v>8.3000000000000004E-2</v>
      </c>
      <c r="D182" s="49">
        <v>3</v>
      </c>
      <c r="E182" s="49">
        <v>0</v>
      </c>
      <c r="F182" s="49">
        <v>3.47</v>
      </c>
      <c r="G182" s="49">
        <v>11317300</v>
      </c>
      <c r="H182" s="67">
        <v>2480200</v>
      </c>
      <c r="I182" s="67">
        <v>9205400</v>
      </c>
      <c r="J182" s="67">
        <v>2777000</v>
      </c>
      <c r="K182" s="68">
        <f t="shared" si="0"/>
        <v>0.89312207418077061</v>
      </c>
      <c r="L182" s="66">
        <f t="shared" si="1"/>
        <v>0.30167075846785585</v>
      </c>
      <c r="M182" s="49">
        <v>0</v>
      </c>
    </row>
    <row r="183" spans="1:13" x14ac:dyDescent="0.2">
      <c r="A183" s="49" t="s">
        <v>160</v>
      </c>
      <c r="B183" s="49">
        <v>20</v>
      </c>
      <c r="C183" s="66">
        <v>8.3000000000000004E-2</v>
      </c>
      <c r="D183" s="49">
        <v>0.5</v>
      </c>
      <c r="E183" s="49">
        <v>0</v>
      </c>
      <c r="F183" s="49">
        <v>5.19</v>
      </c>
      <c r="G183" s="49">
        <v>11118700</v>
      </c>
      <c r="H183" s="67">
        <v>2413300</v>
      </c>
      <c r="I183" s="67">
        <v>8639100</v>
      </c>
      <c r="J183" s="67">
        <v>2887000</v>
      </c>
      <c r="K183" s="68">
        <f t="shared" si="0"/>
        <v>0.83591963976446138</v>
      </c>
      <c r="L183" s="66">
        <f t="shared" si="1"/>
        <v>0.33417832876109782</v>
      </c>
      <c r="M183" s="49">
        <v>0</v>
      </c>
    </row>
    <row r="184" spans="1:13" x14ac:dyDescent="0.2">
      <c r="A184" s="49" t="s">
        <v>160</v>
      </c>
      <c r="B184" s="49">
        <v>21</v>
      </c>
      <c r="C184" s="66">
        <v>7.0999999999999994E-2</v>
      </c>
      <c r="D184" s="49">
        <v>3.4</v>
      </c>
      <c r="E184" s="49">
        <v>0</v>
      </c>
      <c r="F184" s="49">
        <v>5.16</v>
      </c>
      <c r="G184" s="49">
        <v>11815700</v>
      </c>
      <c r="H184" s="67">
        <v>3304900</v>
      </c>
      <c r="I184" s="67">
        <v>11799600</v>
      </c>
      <c r="J184" s="67">
        <v>3276500</v>
      </c>
      <c r="K184" s="68">
        <f t="shared" si="0"/>
        <v>1.0086677857469861</v>
      </c>
      <c r="L184" s="66">
        <f t="shared" si="1"/>
        <v>0.27767890436963966</v>
      </c>
      <c r="M184" s="49">
        <v>0</v>
      </c>
    </row>
    <row r="185" spans="1:13" x14ac:dyDescent="0.2">
      <c r="A185" s="49" t="s">
        <v>160</v>
      </c>
      <c r="B185" s="49">
        <v>22</v>
      </c>
      <c r="C185" s="66">
        <v>7.4999999999999997E-2</v>
      </c>
      <c r="D185" s="49">
        <v>14</v>
      </c>
      <c r="E185" s="49">
        <v>0</v>
      </c>
      <c r="F185" s="49">
        <v>6.07</v>
      </c>
      <c r="G185" s="49">
        <v>15171400</v>
      </c>
      <c r="H185" s="67">
        <v>3655200</v>
      </c>
      <c r="I185" s="67">
        <v>14574100</v>
      </c>
      <c r="J185" s="67">
        <v>3834800</v>
      </c>
      <c r="K185" s="68">
        <f t="shared" si="0"/>
        <v>0.95316574528006681</v>
      </c>
      <c r="L185" s="66">
        <f t="shared" si="1"/>
        <v>0.26312430956285465</v>
      </c>
      <c r="M185" s="49">
        <v>0</v>
      </c>
    </row>
    <row r="186" spans="1:13" x14ac:dyDescent="0.2">
      <c r="A186" s="49" t="s">
        <v>160</v>
      </c>
      <c r="B186" s="49">
        <v>23</v>
      </c>
      <c r="C186" s="66">
        <v>8.3000000000000004E-2</v>
      </c>
      <c r="D186" s="49">
        <v>14.1</v>
      </c>
      <c r="E186" s="49">
        <v>0</v>
      </c>
      <c r="F186" s="49">
        <v>7.32</v>
      </c>
      <c r="G186" s="49">
        <v>13996400</v>
      </c>
      <c r="H186" s="67">
        <v>4452000</v>
      </c>
      <c r="I186" s="67">
        <v>15630400</v>
      </c>
      <c r="J186" s="67">
        <v>3836400</v>
      </c>
      <c r="K186" s="68">
        <f t="shared" si="0"/>
        <v>1.1604629340006256</v>
      </c>
      <c r="L186" s="66">
        <f t="shared" si="1"/>
        <v>0.24544477428600675</v>
      </c>
      <c r="M186" s="49">
        <v>0</v>
      </c>
    </row>
    <row r="187" spans="1:13" x14ac:dyDescent="0.2">
      <c r="A187" s="49" t="s">
        <v>162</v>
      </c>
      <c r="B187" s="49">
        <v>19</v>
      </c>
      <c r="C187" s="66">
        <v>0.08</v>
      </c>
      <c r="D187" s="49">
        <v>3</v>
      </c>
      <c r="E187" s="49">
        <v>0</v>
      </c>
      <c r="F187" s="49">
        <v>12.18</v>
      </c>
      <c r="G187" s="49">
        <v>14612000</v>
      </c>
      <c r="H187" s="67">
        <v>6311000</v>
      </c>
      <c r="I187" s="67">
        <v>28411000</v>
      </c>
      <c r="J187" s="67">
        <v>8113000</v>
      </c>
      <c r="K187" s="68">
        <f t="shared" si="0"/>
        <v>0.77788734130407988</v>
      </c>
      <c r="L187" s="66">
        <f t="shared" si="1"/>
        <v>0.28555841047481612</v>
      </c>
      <c r="M187" s="49">
        <v>0</v>
      </c>
    </row>
    <row r="188" spans="1:13" x14ac:dyDescent="0.2">
      <c r="A188" s="49" t="s">
        <v>162</v>
      </c>
      <c r="B188" s="49">
        <v>20</v>
      </c>
      <c r="C188" s="66">
        <v>0.08</v>
      </c>
      <c r="D188" s="49">
        <v>0.5</v>
      </c>
      <c r="E188" s="49">
        <v>0</v>
      </c>
      <c r="F188" s="49">
        <v>14.02</v>
      </c>
      <c r="G188" s="49">
        <v>13860000</v>
      </c>
      <c r="H188" s="67">
        <v>5973000</v>
      </c>
      <c r="I188" s="67">
        <v>24844000</v>
      </c>
      <c r="J188" s="67">
        <v>8197000</v>
      </c>
      <c r="K188" s="68">
        <f t="shared" si="0"/>
        <v>0.72868122483835551</v>
      </c>
      <c r="L188" s="66">
        <f t="shared" si="1"/>
        <v>0.32993881822572857</v>
      </c>
      <c r="M188" s="49">
        <v>0</v>
      </c>
    </row>
    <row r="189" spans="1:13" x14ac:dyDescent="0.2">
      <c r="A189" s="49" t="s">
        <v>162</v>
      </c>
      <c r="B189" s="49">
        <v>21</v>
      </c>
      <c r="C189" s="66">
        <v>0.08</v>
      </c>
      <c r="D189" s="49">
        <v>3.4</v>
      </c>
      <c r="E189" s="49">
        <v>0</v>
      </c>
      <c r="F189" s="49">
        <v>11.7</v>
      </c>
      <c r="G189" s="49">
        <v>14703000</v>
      </c>
      <c r="H189" s="67">
        <v>6499000</v>
      </c>
      <c r="I189" s="67">
        <v>26303000</v>
      </c>
      <c r="J189" s="67">
        <v>8912000</v>
      </c>
      <c r="K189" s="68">
        <f t="shared" si="0"/>
        <v>0.72924147217235191</v>
      </c>
      <c r="L189" s="66">
        <f t="shared" si="1"/>
        <v>0.33882066684408624</v>
      </c>
      <c r="M189" s="49">
        <v>0</v>
      </c>
    </row>
    <row r="190" spans="1:13" x14ac:dyDescent="0.2">
      <c r="A190" s="49" t="s">
        <v>162</v>
      </c>
      <c r="B190" s="49">
        <v>22</v>
      </c>
      <c r="C190" s="66">
        <v>0.08</v>
      </c>
      <c r="D190" s="49">
        <v>14</v>
      </c>
      <c r="E190" s="49">
        <v>0</v>
      </c>
      <c r="F190" s="49">
        <v>9.36</v>
      </c>
      <c r="G190" s="49">
        <v>16869000</v>
      </c>
      <c r="H190" s="67">
        <v>6937000</v>
      </c>
      <c r="I190" s="67">
        <v>29608000</v>
      </c>
      <c r="J190" s="67">
        <v>9729000</v>
      </c>
      <c r="K190" s="68">
        <f t="shared" si="0"/>
        <v>0.71302292116353172</v>
      </c>
      <c r="L190" s="66">
        <f t="shared" si="1"/>
        <v>0.32859362334504189</v>
      </c>
      <c r="M190" s="49">
        <v>0</v>
      </c>
    </row>
    <row r="191" spans="1:13" x14ac:dyDescent="0.2">
      <c r="A191" s="49" t="s">
        <v>162</v>
      </c>
      <c r="B191" s="49">
        <v>23</v>
      </c>
      <c r="C191" s="66">
        <v>9.7000000000000003E-2</v>
      </c>
      <c r="D191" s="49">
        <v>14.1</v>
      </c>
      <c r="E191" s="49">
        <v>0</v>
      </c>
      <c r="G191" s="49">
        <v>18119000</v>
      </c>
      <c r="H191" s="67">
        <v>7849000</v>
      </c>
      <c r="I191" s="67">
        <v>0</v>
      </c>
      <c r="J191" s="67">
        <v>10774000</v>
      </c>
      <c r="K191" s="68">
        <f t="shared" si="0"/>
        <v>0.72851308706144424</v>
      </c>
      <c r="L191" s="66" t="e">
        <f t="shared" si="1"/>
        <v>#DIV/0!</v>
      </c>
      <c r="M191" s="49">
        <v>0</v>
      </c>
    </row>
    <row r="192" spans="1:13" x14ac:dyDescent="0.2">
      <c r="A192" s="49" t="s">
        <v>164</v>
      </c>
      <c r="B192" s="49">
        <v>19</v>
      </c>
      <c r="C192" s="66">
        <v>0.09</v>
      </c>
      <c r="D192" s="49">
        <v>3</v>
      </c>
      <c r="E192" s="49">
        <v>0</v>
      </c>
      <c r="G192" s="49">
        <v>838758</v>
      </c>
      <c r="H192" s="67">
        <v>1053369</v>
      </c>
      <c r="I192" s="67">
        <v>2010770</v>
      </c>
      <c r="J192" s="67">
        <v>1123484</v>
      </c>
      <c r="K192" s="68">
        <f t="shared" si="0"/>
        <v>0.93759145657615062</v>
      </c>
      <c r="L192" s="66">
        <f t="shared" si="1"/>
        <v>0.55873322160167493</v>
      </c>
      <c r="M192" s="49">
        <v>0</v>
      </c>
    </row>
    <row r="193" spans="1:13" x14ac:dyDescent="0.2">
      <c r="A193" s="49" t="s">
        <v>164</v>
      </c>
      <c r="B193" s="49">
        <v>20</v>
      </c>
      <c r="C193" s="66">
        <v>0.09</v>
      </c>
      <c r="D193" s="49">
        <v>0.5</v>
      </c>
      <c r="E193" s="49">
        <v>0</v>
      </c>
      <c r="F193" s="49">
        <v>6.43</v>
      </c>
      <c r="G193" s="49">
        <v>1050200</v>
      </c>
      <c r="H193" s="67">
        <v>1010594</v>
      </c>
      <c r="I193" s="67">
        <v>2003890</v>
      </c>
      <c r="J193" s="67">
        <v>1396403</v>
      </c>
      <c r="K193" s="68">
        <f t="shared" si="0"/>
        <v>0.72371228076708516</v>
      </c>
      <c r="L193" s="66">
        <f t="shared" si="1"/>
        <v>0.69684613426884712</v>
      </c>
      <c r="M193" s="49">
        <v>0</v>
      </c>
    </row>
    <row r="194" spans="1:13" x14ac:dyDescent="0.2">
      <c r="A194" s="49" t="s">
        <v>164</v>
      </c>
      <c r="B194" s="49">
        <v>21</v>
      </c>
      <c r="C194" s="66">
        <v>0.09</v>
      </c>
      <c r="D194" s="49">
        <v>3.4</v>
      </c>
      <c r="E194" s="49">
        <v>0</v>
      </c>
      <c r="G194" s="49">
        <v>1533240</v>
      </c>
      <c r="H194" s="67">
        <v>9280734</v>
      </c>
      <c r="I194" s="67">
        <v>14880340</v>
      </c>
      <c r="J194" s="67">
        <v>11766576</v>
      </c>
      <c r="K194" s="68">
        <f t="shared" si="0"/>
        <v>0.78873701236451454</v>
      </c>
      <c r="L194" s="66">
        <f t="shared" si="1"/>
        <v>0.79074644799782801</v>
      </c>
      <c r="M194" s="49">
        <v>0</v>
      </c>
    </row>
    <row r="195" spans="1:13" x14ac:dyDescent="0.2">
      <c r="A195" s="49" t="s">
        <v>164</v>
      </c>
      <c r="B195" s="49">
        <v>22</v>
      </c>
      <c r="C195" s="66">
        <v>0.105</v>
      </c>
      <c r="D195" s="49">
        <v>14</v>
      </c>
      <c r="E195" s="49">
        <v>0</v>
      </c>
      <c r="G195" s="49">
        <v>3465987</v>
      </c>
      <c r="H195" s="67">
        <v>6670055</v>
      </c>
      <c r="I195" s="67">
        <v>12851240</v>
      </c>
      <c r="J195" s="67">
        <v>9453619</v>
      </c>
      <c r="K195" s="68">
        <f t="shared" si="0"/>
        <v>0.70555572421524493</v>
      </c>
      <c r="L195" s="66">
        <f t="shared" si="1"/>
        <v>0.73561920873005249</v>
      </c>
      <c r="M195" s="49">
        <v>0</v>
      </c>
    </row>
    <row r="196" spans="1:13" x14ac:dyDescent="0.2">
      <c r="A196" s="49" t="s">
        <v>164</v>
      </c>
      <c r="B196" s="49">
        <v>23</v>
      </c>
      <c r="C196" s="66">
        <v>0.115</v>
      </c>
      <c r="D196" s="49">
        <v>14.1</v>
      </c>
      <c r="E196" s="49">
        <v>420585</v>
      </c>
      <c r="G196" s="49">
        <v>3161972</v>
      </c>
      <c r="H196" s="67">
        <v>1726083</v>
      </c>
      <c r="I196" s="67">
        <v>6945375</v>
      </c>
      <c r="J196" s="67">
        <v>4060848</v>
      </c>
      <c r="K196" s="68">
        <f t="shared" si="0"/>
        <v>0.42505481613692508</v>
      </c>
      <c r="L196" s="66">
        <f t="shared" si="1"/>
        <v>0.58468376437557368</v>
      </c>
      <c r="M196" s="49">
        <v>1</v>
      </c>
    </row>
    <row r="197" spans="1:13" x14ac:dyDescent="0.2">
      <c r="A197" s="49" t="s">
        <v>166</v>
      </c>
      <c r="B197" s="49">
        <v>19</v>
      </c>
      <c r="C197" s="66">
        <v>0.08</v>
      </c>
      <c r="D197" s="49">
        <v>3</v>
      </c>
      <c r="E197" s="49">
        <v>0</v>
      </c>
      <c r="F197" s="49">
        <v>20.37</v>
      </c>
      <c r="G197" s="49">
        <v>40979000</v>
      </c>
      <c r="H197" s="67">
        <v>2185000</v>
      </c>
      <c r="I197" s="67">
        <v>41037000</v>
      </c>
      <c r="J197" s="67">
        <v>22761000</v>
      </c>
      <c r="K197" s="68">
        <f t="shared" si="0"/>
        <v>9.5997539651157676E-2</v>
      </c>
      <c r="L197" s="66">
        <f t="shared" si="1"/>
        <v>0.55464580744206449</v>
      </c>
      <c r="M197" s="49">
        <v>0</v>
      </c>
    </row>
    <row r="198" spans="1:13" x14ac:dyDescent="0.2">
      <c r="A198" s="49" t="s">
        <v>166</v>
      </c>
      <c r="B198" s="49">
        <v>20</v>
      </c>
      <c r="C198" s="66">
        <v>0.08</v>
      </c>
      <c r="D198" s="49">
        <v>0.5</v>
      </c>
      <c r="E198" s="49">
        <v>0</v>
      </c>
      <c r="F198" s="49">
        <v>21.23</v>
      </c>
      <c r="G198" s="49">
        <v>36287000</v>
      </c>
      <c r="H198" s="67">
        <v>2049000</v>
      </c>
      <c r="I198" s="67">
        <v>43886000</v>
      </c>
      <c r="J198" s="67">
        <v>23693000</v>
      </c>
      <c r="K198" s="68">
        <f t="shared" si="0"/>
        <v>8.6481239184569278E-2</v>
      </c>
      <c r="L198" s="66">
        <f t="shared" si="1"/>
        <v>0.53987604247368182</v>
      </c>
      <c r="M198" s="49">
        <v>0</v>
      </c>
    </row>
    <row r="199" spans="1:13" x14ac:dyDescent="0.2">
      <c r="A199" s="49" t="s">
        <v>166</v>
      </c>
      <c r="B199" s="49">
        <v>21</v>
      </c>
      <c r="C199" s="66">
        <v>0.08</v>
      </c>
      <c r="D199" s="49">
        <v>3.4</v>
      </c>
      <c r="E199" s="49">
        <v>0</v>
      </c>
      <c r="F199" s="49">
        <v>23.11</v>
      </c>
      <c r="G199" s="49">
        <v>40006000</v>
      </c>
      <c r="H199" s="67">
        <v>4089000</v>
      </c>
      <c r="I199" s="67">
        <v>48583000</v>
      </c>
      <c r="J199" s="67">
        <v>25729000</v>
      </c>
      <c r="K199" s="68">
        <f t="shared" si="0"/>
        <v>0.15892572583466127</v>
      </c>
      <c r="L199" s="66">
        <f t="shared" si="1"/>
        <v>0.52958853920095506</v>
      </c>
      <c r="M199" s="49">
        <v>0</v>
      </c>
    </row>
    <row r="200" spans="1:13" x14ac:dyDescent="0.2">
      <c r="A200" s="49" t="s">
        <v>166</v>
      </c>
      <c r="B200" s="49">
        <v>22</v>
      </c>
      <c r="C200" s="66">
        <v>0.08</v>
      </c>
      <c r="D200" s="49">
        <v>14</v>
      </c>
      <c r="E200" s="49">
        <v>0</v>
      </c>
      <c r="F200" s="49">
        <v>23.31</v>
      </c>
      <c r="G200" s="49">
        <v>50042000</v>
      </c>
      <c r="H200" s="67">
        <v>8275000</v>
      </c>
      <c r="I200" s="67">
        <v>61780000</v>
      </c>
      <c r="J200" s="67">
        <v>33020000</v>
      </c>
      <c r="K200" s="68">
        <f t="shared" si="0"/>
        <v>0.25060569351907935</v>
      </c>
      <c r="L200" s="66">
        <f t="shared" si="1"/>
        <v>0.53447717707996112</v>
      </c>
      <c r="M200" s="49">
        <v>0</v>
      </c>
    </row>
    <row r="201" spans="1:13" x14ac:dyDescent="0.2">
      <c r="A201" s="49" t="s">
        <v>166</v>
      </c>
      <c r="B201" s="49">
        <v>23</v>
      </c>
      <c r="C201" s="66">
        <v>0.08</v>
      </c>
      <c r="D201" s="49">
        <v>14.1</v>
      </c>
      <c r="E201" s="49">
        <v>0</v>
      </c>
      <c r="F201" s="49">
        <v>22.44</v>
      </c>
      <c r="G201" s="49">
        <v>60897000</v>
      </c>
      <c r="H201" s="67">
        <v>10222000</v>
      </c>
      <c r="I201" s="67">
        <v>67784000</v>
      </c>
      <c r="J201" s="67">
        <v>36822000</v>
      </c>
      <c r="K201" s="68">
        <f t="shared" si="0"/>
        <v>0.27760577915376677</v>
      </c>
      <c r="L201" s="66">
        <f t="shared" si="1"/>
        <v>0.54322553995043077</v>
      </c>
      <c r="M201" s="49">
        <v>0</v>
      </c>
    </row>
    <row r="202" spans="1:13" x14ac:dyDescent="0.2">
      <c r="A202" s="49" t="s">
        <v>170</v>
      </c>
      <c r="B202" s="49">
        <v>19</v>
      </c>
      <c r="C202" s="66">
        <v>0.08</v>
      </c>
      <c r="D202" s="49">
        <v>3</v>
      </c>
      <c r="E202" s="49">
        <v>0</v>
      </c>
      <c r="F202" s="49">
        <v>11.21</v>
      </c>
      <c r="G202" s="49" t="s">
        <v>413</v>
      </c>
      <c r="H202" s="67">
        <v>34581000</v>
      </c>
      <c r="I202" s="67">
        <f>1.623*(10^8)</f>
        <v>162300000</v>
      </c>
      <c r="J202" s="67">
        <v>54125000</v>
      </c>
      <c r="K202" s="68">
        <f t="shared" si="0"/>
        <v>0.63890993071593538</v>
      </c>
      <c r="L202" s="66">
        <f t="shared" si="1"/>
        <v>0.33348736906962417</v>
      </c>
      <c r="M202" s="49">
        <v>0</v>
      </c>
    </row>
    <row r="203" spans="1:13" x14ac:dyDescent="0.2">
      <c r="A203" s="49" t="s">
        <v>170</v>
      </c>
      <c r="B203" s="49">
        <v>20</v>
      </c>
      <c r="C203" s="66"/>
      <c r="D203" s="49">
        <v>0.5</v>
      </c>
      <c r="E203" s="49">
        <v>0</v>
      </c>
      <c r="F203" s="49">
        <v>14.27</v>
      </c>
      <c r="G203" s="49" t="s">
        <v>414</v>
      </c>
      <c r="H203" s="67">
        <v>32324000</v>
      </c>
      <c r="I203" s="67">
        <f>1.546*(10^8)</f>
        <v>154600000</v>
      </c>
      <c r="J203" s="67">
        <v>54352000</v>
      </c>
      <c r="K203" s="68">
        <f t="shared" si="0"/>
        <v>0.59471592581689725</v>
      </c>
      <c r="L203" s="66">
        <f t="shared" si="1"/>
        <v>0.35156532988357053</v>
      </c>
      <c r="M203" s="49">
        <v>0</v>
      </c>
    </row>
    <row r="204" spans="1:13" x14ac:dyDescent="0.2">
      <c r="A204" s="49" t="s">
        <v>170</v>
      </c>
      <c r="B204" s="49">
        <v>21</v>
      </c>
      <c r="C204" s="66">
        <v>7.5999999999999998E-2</v>
      </c>
      <c r="D204" s="49">
        <v>3.4</v>
      </c>
      <c r="E204" s="49">
        <v>0</v>
      </c>
      <c r="F204" s="49">
        <v>11.34</v>
      </c>
      <c r="G204" s="49" t="s">
        <v>415</v>
      </c>
      <c r="H204" s="67">
        <v>37803000</v>
      </c>
      <c r="I204" s="67">
        <f>1.751*(10^8)</f>
        <v>175100000</v>
      </c>
      <c r="J204" s="67">
        <v>59874000</v>
      </c>
      <c r="K204" s="68">
        <f t="shared" si="0"/>
        <v>0.63137588936767208</v>
      </c>
      <c r="L204" s="66">
        <f t="shared" si="1"/>
        <v>0.34194174757281554</v>
      </c>
      <c r="M204" s="49">
        <v>0</v>
      </c>
    </row>
    <row r="205" spans="1:13" x14ac:dyDescent="0.2">
      <c r="A205" s="49" t="s">
        <v>170</v>
      </c>
      <c r="B205" s="49">
        <v>22</v>
      </c>
      <c r="C205" s="66">
        <v>0.106</v>
      </c>
      <c r="D205" s="49">
        <v>14</v>
      </c>
      <c r="E205" s="49">
        <v>0</v>
      </c>
      <c r="F205" s="49">
        <v>6.18</v>
      </c>
      <c r="G205" s="49" t="s">
        <v>416</v>
      </c>
      <c r="H205" s="67">
        <v>44786000</v>
      </c>
      <c r="I205" s="67">
        <f>2.106*(10^8)</f>
        <v>210600000</v>
      </c>
      <c r="J205" s="67">
        <v>67346000</v>
      </c>
      <c r="K205" s="68">
        <f t="shared" si="0"/>
        <v>0.66501351230956551</v>
      </c>
      <c r="L205" s="66">
        <f t="shared" si="1"/>
        <v>0.31978157644824312</v>
      </c>
      <c r="M205" s="49">
        <v>0</v>
      </c>
    </row>
    <row r="206" spans="1:13" x14ac:dyDescent="0.2">
      <c r="A206" s="49" t="s">
        <v>170</v>
      </c>
      <c r="B206" s="49">
        <v>23</v>
      </c>
      <c r="C206" s="66">
        <v>0.1187</v>
      </c>
      <c r="D206" s="49">
        <v>14.1</v>
      </c>
      <c r="E206" s="49">
        <v>0</v>
      </c>
      <c r="F206" s="49">
        <v>10.57</v>
      </c>
      <c r="G206" s="49" t="s">
        <v>417</v>
      </c>
      <c r="H206" s="67">
        <v>39337000</v>
      </c>
      <c r="I206" s="67">
        <f>2.03*(10^8)</f>
        <v>202999999.99999997</v>
      </c>
      <c r="J206" s="67">
        <v>70846000</v>
      </c>
      <c r="K206" s="68">
        <f t="shared" si="0"/>
        <v>0.55524659119780928</v>
      </c>
      <c r="L206" s="66">
        <f t="shared" si="1"/>
        <v>0.34899507389162565</v>
      </c>
      <c r="M206" s="49">
        <v>0</v>
      </c>
    </row>
    <row r="207" spans="1:13" x14ac:dyDescent="0.2">
      <c r="A207" s="49" t="s">
        <v>174</v>
      </c>
      <c r="B207" s="49">
        <v>19</v>
      </c>
      <c r="C207" s="66">
        <v>9.6000000000000002E-2</v>
      </c>
      <c r="D207" s="49">
        <v>3</v>
      </c>
      <c r="E207" s="49">
        <v>0</v>
      </c>
      <c r="F207" s="49">
        <v>9.2200000000000006</v>
      </c>
      <c r="G207" s="49">
        <v>1329672</v>
      </c>
      <c r="H207" s="67">
        <v>221410</v>
      </c>
      <c r="I207" s="67">
        <v>1228751</v>
      </c>
      <c r="J207" s="67">
        <v>563131</v>
      </c>
      <c r="K207" s="68">
        <f t="shared" si="0"/>
        <v>0.39317672086956679</v>
      </c>
      <c r="L207" s="66">
        <f t="shared" si="1"/>
        <v>0.45829545611763489</v>
      </c>
      <c r="M207" s="49">
        <v>0</v>
      </c>
    </row>
    <row r="208" spans="1:13" x14ac:dyDescent="0.2">
      <c r="A208" s="49" t="s">
        <v>174</v>
      </c>
      <c r="B208" s="49">
        <v>20</v>
      </c>
      <c r="C208" s="66">
        <v>9.6000000000000002E-2</v>
      </c>
      <c r="D208" s="49">
        <v>0.5</v>
      </c>
      <c r="E208" s="49">
        <v>0</v>
      </c>
      <c r="F208" s="49">
        <v>13.37</v>
      </c>
      <c r="G208" s="49">
        <v>1553672</v>
      </c>
      <c r="H208" s="67">
        <v>216660</v>
      </c>
      <c r="I208" s="67">
        <v>1369728</v>
      </c>
      <c r="J208" s="67">
        <v>581893</v>
      </c>
      <c r="K208" s="68">
        <f t="shared" si="0"/>
        <v>0.37233649485386489</v>
      </c>
      <c r="L208" s="66">
        <f t="shared" si="1"/>
        <v>0.42482376062984767</v>
      </c>
      <c r="M208" s="49">
        <v>0</v>
      </c>
    </row>
    <row r="209" spans="1:13" x14ac:dyDescent="0.2">
      <c r="A209" s="49" t="s">
        <v>174</v>
      </c>
      <c r="B209" s="49">
        <v>21</v>
      </c>
      <c r="C209" s="66">
        <v>9.1999999999999998E-2</v>
      </c>
      <c r="D209" s="49">
        <v>3.4</v>
      </c>
      <c r="E209" s="49">
        <v>0</v>
      </c>
      <c r="F209" s="49">
        <v>18.07</v>
      </c>
      <c r="G209" s="49">
        <v>1837956</v>
      </c>
      <c r="H209" s="67">
        <v>270090</v>
      </c>
      <c r="I209" s="67">
        <v>1731389</v>
      </c>
      <c r="J209" s="67">
        <v>806890</v>
      </c>
      <c r="K209" s="68">
        <f t="shared" si="0"/>
        <v>0.33472964096717023</v>
      </c>
      <c r="L209" s="66">
        <f t="shared" si="1"/>
        <v>0.46603622871578831</v>
      </c>
      <c r="M209" s="49">
        <v>0</v>
      </c>
    </row>
    <row r="210" spans="1:13" x14ac:dyDescent="0.2">
      <c r="A210" s="49" t="s">
        <v>174</v>
      </c>
      <c r="B210" s="49">
        <v>22</v>
      </c>
      <c r="C210" s="66">
        <v>0.113</v>
      </c>
      <c r="D210" s="49">
        <v>14</v>
      </c>
      <c r="E210" s="49">
        <v>0</v>
      </c>
      <c r="F210" s="49">
        <v>14.06</v>
      </c>
      <c r="G210" s="49">
        <v>1947482</v>
      </c>
      <c r="H210" s="67">
        <v>288629</v>
      </c>
      <c r="I210" s="67">
        <v>1798170</v>
      </c>
      <c r="J210" s="67">
        <v>999779</v>
      </c>
      <c r="K210" s="68">
        <f t="shared" si="0"/>
        <v>0.28869280110904511</v>
      </c>
      <c r="L210" s="66">
        <f t="shared" si="1"/>
        <v>0.55599804245427298</v>
      </c>
      <c r="M210" s="49">
        <v>0</v>
      </c>
    </row>
    <row r="211" spans="1:13" x14ac:dyDescent="0.2">
      <c r="A211" s="49" t="s">
        <v>174</v>
      </c>
      <c r="B211" s="49">
        <v>23</v>
      </c>
      <c r="C211" s="66">
        <v>0.114</v>
      </c>
      <c r="D211" s="49">
        <v>14.1</v>
      </c>
      <c r="E211" s="49">
        <v>0</v>
      </c>
      <c r="F211" s="49">
        <v>11.57</v>
      </c>
      <c r="G211" s="49">
        <v>1964533</v>
      </c>
      <c r="H211" s="67">
        <v>288957</v>
      </c>
      <c r="I211" s="67">
        <v>1778477</v>
      </c>
      <c r="J211" s="67">
        <v>1022560</v>
      </c>
      <c r="K211" s="68">
        <f t="shared" si="0"/>
        <v>0.28258195118134877</v>
      </c>
      <c r="L211" s="66">
        <f t="shared" si="1"/>
        <v>0.5749638595269998</v>
      </c>
      <c r="M211" s="49">
        <v>0</v>
      </c>
    </row>
    <row r="212" spans="1:13" x14ac:dyDescent="0.2">
      <c r="A212" s="49" t="s">
        <v>172</v>
      </c>
      <c r="B212" s="49">
        <v>19</v>
      </c>
      <c r="C212" s="66">
        <v>0.1</v>
      </c>
      <c r="D212" s="49">
        <v>3</v>
      </c>
      <c r="E212" s="49">
        <v>138900</v>
      </c>
      <c r="F212" s="49">
        <v>11.02</v>
      </c>
      <c r="G212" s="49">
        <v>7918400</v>
      </c>
      <c r="H212" s="67">
        <v>3002900</v>
      </c>
      <c r="I212" s="67">
        <v>13092100</v>
      </c>
      <c r="J212" s="67">
        <v>5461300</v>
      </c>
      <c r="K212" s="68">
        <f t="shared" si="0"/>
        <v>0.54985076813212974</v>
      </c>
      <c r="L212" s="66">
        <f t="shared" si="1"/>
        <v>0.41714469030942325</v>
      </c>
      <c r="M212" s="49">
        <v>1</v>
      </c>
    </row>
    <row r="213" spans="1:13" x14ac:dyDescent="0.2">
      <c r="A213" s="49" t="s">
        <v>172</v>
      </c>
      <c r="B213" s="49">
        <v>20</v>
      </c>
      <c r="C213" s="66">
        <v>0.1</v>
      </c>
      <c r="D213" s="49">
        <v>0.5</v>
      </c>
      <c r="E213" s="49">
        <v>48600</v>
      </c>
      <c r="F213" s="49">
        <v>5.25</v>
      </c>
      <c r="G213" s="49">
        <v>6994500</v>
      </c>
      <c r="H213" s="67">
        <v>2843200</v>
      </c>
      <c r="I213" s="67">
        <v>12261900</v>
      </c>
      <c r="J213" s="67">
        <v>5764400</v>
      </c>
      <c r="K213" s="68">
        <f t="shared" si="0"/>
        <v>0.49323433488307544</v>
      </c>
      <c r="L213" s="66">
        <f t="shared" si="1"/>
        <v>0.47010659033265645</v>
      </c>
      <c r="M213" s="49">
        <v>1</v>
      </c>
    </row>
    <row r="214" spans="1:13" x14ac:dyDescent="0.2">
      <c r="A214" s="49" t="s">
        <v>172</v>
      </c>
      <c r="B214" s="49">
        <v>21</v>
      </c>
      <c r="C214" s="66">
        <v>0.1</v>
      </c>
      <c r="D214" s="49">
        <v>3.4</v>
      </c>
      <c r="E214" s="49">
        <v>0</v>
      </c>
      <c r="F214" s="49">
        <v>10.14</v>
      </c>
      <c r="G214" s="49">
        <v>7232400</v>
      </c>
      <c r="H214" s="67">
        <v>2904000</v>
      </c>
      <c r="I214" s="67">
        <v>12652700</v>
      </c>
      <c r="J214" s="67">
        <v>6218900</v>
      </c>
      <c r="K214" s="68">
        <f t="shared" si="0"/>
        <v>0.46696361092797761</v>
      </c>
      <c r="L214" s="66">
        <f t="shared" si="1"/>
        <v>0.49150774143068277</v>
      </c>
      <c r="M214" s="49">
        <v>0</v>
      </c>
    </row>
    <row r="215" spans="1:13" x14ac:dyDescent="0.2">
      <c r="A215" s="49" t="s">
        <v>172</v>
      </c>
      <c r="B215" s="49">
        <v>22</v>
      </c>
      <c r="C215" s="66">
        <v>0.1</v>
      </c>
      <c r="D215" s="49">
        <v>14</v>
      </c>
      <c r="E215" s="49">
        <v>0</v>
      </c>
      <c r="F215" s="49">
        <v>10.58</v>
      </c>
      <c r="G215" s="49">
        <v>8347200</v>
      </c>
      <c r="H215" s="67">
        <v>3028300</v>
      </c>
      <c r="I215" s="67">
        <v>13332600</v>
      </c>
      <c r="J215" s="67">
        <v>6882300</v>
      </c>
      <c r="K215" s="68">
        <f t="shared" si="0"/>
        <v>0.4400127864231434</v>
      </c>
      <c r="L215" s="66">
        <f t="shared" si="1"/>
        <v>0.51620089104900768</v>
      </c>
      <c r="M215" s="49">
        <v>0</v>
      </c>
    </row>
    <row r="216" spans="1:13" x14ac:dyDescent="0.2">
      <c r="A216" s="49" t="s">
        <v>172</v>
      </c>
      <c r="B216" s="49">
        <v>23</v>
      </c>
      <c r="C216" s="66">
        <v>0.1</v>
      </c>
      <c r="D216" s="49">
        <v>14.1</v>
      </c>
      <c r="E216" s="49">
        <v>0</v>
      </c>
      <c r="F216" s="49">
        <v>11.12</v>
      </c>
      <c r="G216" s="49">
        <v>8676300</v>
      </c>
      <c r="H216" s="67">
        <v>3085300</v>
      </c>
      <c r="I216" s="67">
        <v>13007400</v>
      </c>
      <c r="J216" s="67">
        <v>7184100</v>
      </c>
      <c r="K216" s="68">
        <f t="shared" si="0"/>
        <v>0.429462284767751</v>
      </c>
      <c r="L216" s="66">
        <f t="shared" si="1"/>
        <v>0.55230868582499193</v>
      </c>
      <c r="M216" s="49">
        <v>0</v>
      </c>
    </row>
    <row r="217" spans="1:13" x14ac:dyDescent="0.2">
      <c r="A217" s="49" t="s">
        <v>181</v>
      </c>
      <c r="B217" s="49">
        <v>19</v>
      </c>
      <c r="C217" s="66">
        <v>8.5999999999999993E-2</v>
      </c>
      <c r="D217" s="49">
        <v>3</v>
      </c>
      <c r="E217" s="49">
        <v>0</v>
      </c>
      <c r="F217" s="49">
        <v>9.3699999999999992</v>
      </c>
      <c r="G217" s="49">
        <v>26731000</v>
      </c>
      <c r="H217" s="67">
        <v>18674000</v>
      </c>
      <c r="I217" s="67">
        <v>44713000</v>
      </c>
      <c r="J217" s="67">
        <v>20496000</v>
      </c>
      <c r="K217" s="68">
        <f t="shared" si="0"/>
        <v>0.91110460577673691</v>
      </c>
      <c r="L217" s="66">
        <f t="shared" si="1"/>
        <v>0.45839017735334242</v>
      </c>
      <c r="M217" s="49">
        <v>0</v>
      </c>
    </row>
    <row r="218" spans="1:13" x14ac:dyDescent="0.2">
      <c r="A218" s="49" t="s">
        <v>181</v>
      </c>
      <c r="B218" s="49">
        <v>20</v>
      </c>
      <c r="C218" s="66">
        <v>8.4000000000000005E-2</v>
      </c>
      <c r="D218" s="49">
        <v>0.5</v>
      </c>
      <c r="E218" s="49">
        <v>0</v>
      </c>
      <c r="F218" s="49">
        <v>16.07</v>
      </c>
      <c r="G218" s="49">
        <v>30845000</v>
      </c>
      <c r="H218" s="67">
        <v>17427000</v>
      </c>
      <c r="I218" s="67">
        <v>45015000</v>
      </c>
      <c r="J218" s="67">
        <v>21024000</v>
      </c>
      <c r="K218" s="68">
        <f t="shared" si="0"/>
        <v>0.82890981735159819</v>
      </c>
      <c r="L218" s="66">
        <f t="shared" si="1"/>
        <v>0.46704431856047984</v>
      </c>
      <c r="M218" s="49">
        <v>0</v>
      </c>
    </row>
    <row r="219" spans="1:13" x14ac:dyDescent="0.2">
      <c r="A219" s="49" t="s">
        <v>181</v>
      </c>
      <c r="B219" s="49">
        <v>21</v>
      </c>
      <c r="C219" s="66">
        <v>8.7999999999999995E-2</v>
      </c>
      <c r="D219" s="49">
        <v>3.4</v>
      </c>
      <c r="E219" s="49">
        <v>0</v>
      </c>
      <c r="F219" s="49">
        <v>16.2</v>
      </c>
      <c r="G219" s="49">
        <v>27769000</v>
      </c>
      <c r="H219" s="67">
        <v>19681000</v>
      </c>
      <c r="I219" s="67">
        <v>44555000</v>
      </c>
      <c r="J219" s="67">
        <v>24749000</v>
      </c>
      <c r="K219" s="68">
        <f t="shared" si="0"/>
        <v>0.79522404945654368</v>
      </c>
      <c r="L219" s="66">
        <f t="shared" si="1"/>
        <v>0.55547076646840987</v>
      </c>
      <c r="M219" s="49">
        <v>0</v>
      </c>
    </row>
    <row r="220" spans="1:13" x14ac:dyDescent="0.2">
      <c r="A220" s="49" t="s">
        <v>181</v>
      </c>
      <c r="B220" s="49">
        <v>22</v>
      </c>
      <c r="C220" s="66">
        <v>9.6000000000000002E-2</v>
      </c>
      <c r="D220" s="49">
        <v>14</v>
      </c>
      <c r="E220" s="49">
        <v>0</v>
      </c>
      <c r="F220" s="49">
        <v>13.31</v>
      </c>
      <c r="G220" s="49">
        <v>28934000</v>
      </c>
      <c r="H220" s="67">
        <v>22512000</v>
      </c>
      <c r="I220" s="67">
        <v>52032000</v>
      </c>
      <c r="J220" s="67">
        <v>30038000</v>
      </c>
      <c r="K220" s="68">
        <f t="shared" si="0"/>
        <v>0.74945069578533852</v>
      </c>
      <c r="L220" s="66">
        <f t="shared" si="1"/>
        <v>0.57729858548585489</v>
      </c>
      <c r="M220" s="49">
        <v>0</v>
      </c>
    </row>
    <row r="221" spans="1:13" x14ac:dyDescent="0.2">
      <c r="A221" s="49" t="s">
        <v>181</v>
      </c>
      <c r="B221" s="49">
        <v>23</v>
      </c>
      <c r="C221" s="66">
        <v>0.1055</v>
      </c>
      <c r="D221" s="49">
        <v>14.1</v>
      </c>
      <c r="E221" s="49">
        <v>0</v>
      </c>
      <c r="F221" s="49">
        <v>12.26</v>
      </c>
      <c r="G221" s="49">
        <v>32857000</v>
      </c>
      <c r="H221" s="67">
        <v>24869000</v>
      </c>
      <c r="I221" s="67">
        <v>53586000</v>
      </c>
      <c r="J221" s="67">
        <v>30166000</v>
      </c>
      <c r="K221" s="68">
        <f t="shared" si="0"/>
        <v>0.82440495922561829</v>
      </c>
      <c r="L221" s="66">
        <f t="shared" si="1"/>
        <v>0.56294554547829656</v>
      </c>
      <c r="M221" s="49">
        <v>0</v>
      </c>
    </row>
    <row r="222" spans="1:13" x14ac:dyDescent="0.2">
      <c r="A222" s="49" t="s">
        <v>183</v>
      </c>
      <c r="B222" s="49">
        <v>19</v>
      </c>
      <c r="C222" s="66">
        <v>0.08</v>
      </c>
      <c r="D222" s="49">
        <v>3</v>
      </c>
      <c r="E222" s="49">
        <v>0</v>
      </c>
      <c r="F222" s="49">
        <v>7.07</v>
      </c>
      <c r="G222" s="49">
        <v>11978000</v>
      </c>
      <c r="H222" s="67">
        <v>404000</v>
      </c>
      <c r="I222" s="67">
        <v>10480000</v>
      </c>
      <c r="J222" s="67">
        <v>4314000</v>
      </c>
      <c r="K222" s="68">
        <f t="shared" si="0"/>
        <v>9.3648585999072789E-2</v>
      </c>
      <c r="L222" s="66">
        <f t="shared" si="1"/>
        <v>0.4116412213740458</v>
      </c>
      <c r="M222" s="49">
        <v>0</v>
      </c>
    </row>
    <row r="223" spans="1:13" x14ac:dyDescent="0.2">
      <c r="A223" s="49" t="s">
        <v>183</v>
      </c>
      <c r="B223" s="49">
        <v>20</v>
      </c>
      <c r="C223" s="66">
        <v>0.08</v>
      </c>
      <c r="D223" s="49">
        <v>0.5</v>
      </c>
      <c r="E223" s="49">
        <v>0</v>
      </c>
      <c r="F223" s="49">
        <v>5.43</v>
      </c>
      <c r="G223" s="49">
        <v>11008000</v>
      </c>
      <c r="H223" s="67">
        <v>814000</v>
      </c>
      <c r="I223" s="67">
        <v>13652000</v>
      </c>
      <c r="J223" s="67">
        <v>5968000</v>
      </c>
      <c r="K223" s="68">
        <f t="shared" si="0"/>
        <v>0.13639410187667561</v>
      </c>
      <c r="L223" s="66">
        <f t="shared" si="1"/>
        <v>0.43715206563140929</v>
      </c>
      <c r="M223" s="49">
        <v>0</v>
      </c>
    </row>
    <row r="224" spans="1:13" x14ac:dyDescent="0.2">
      <c r="A224" s="49" t="s">
        <v>183</v>
      </c>
      <c r="B224" s="49">
        <v>21</v>
      </c>
      <c r="C224" s="66">
        <v>0.08</v>
      </c>
      <c r="D224" s="49">
        <v>3.4</v>
      </c>
      <c r="E224" s="49">
        <v>0</v>
      </c>
      <c r="F224" s="49">
        <v>5.0599999999999996</v>
      </c>
      <c r="G224" s="49">
        <v>18130000</v>
      </c>
      <c r="H224" s="67">
        <v>873000</v>
      </c>
      <c r="I224" s="67">
        <v>15767000</v>
      </c>
      <c r="J224" s="67">
        <v>6930000</v>
      </c>
      <c r="K224" s="68">
        <f t="shared" si="0"/>
        <v>0.12597402597402596</v>
      </c>
      <c r="L224" s="66">
        <f t="shared" si="1"/>
        <v>0.43952559142512843</v>
      </c>
      <c r="M224" s="49">
        <v>0</v>
      </c>
    </row>
    <row r="225" spans="1:13" x14ac:dyDescent="0.2">
      <c r="A225" s="49" t="s">
        <v>183</v>
      </c>
      <c r="B225" s="49">
        <v>22</v>
      </c>
      <c r="C225" s="66">
        <v>8.5999999999999993E-2</v>
      </c>
      <c r="D225" s="49">
        <v>14</v>
      </c>
      <c r="E225" s="49">
        <v>0</v>
      </c>
      <c r="F225" s="49">
        <v>5.13</v>
      </c>
      <c r="G225" s="49">
        <v>24492000</v>
      </c>
      <c r="H225" s="67">
        <v>873000</v>
      </c>
      <c r="I225" s="67">
        <v>17530000</v>
      </c>
      <c r="J225" s="67">
        <v>8203000</v>
      </c>
      <c r="K225" s="68">
        <f t="shared" si="0"/>
        <v>0.10642447884920152</v>
      </c>
      <c r="L225" s="66">
        <f t="shared" si="1"/>
        <v>0.46794067313177412</v>
      </c>
      <c r="M225" s="49">
        <v>0</v>
      </c>
    </row>
    <row r="226" spans="1:13" x14ac:dyDescent="0.2">
      <c r="A226" s="49" t="s">
        <v>183</v>
      </c>
      <c r="B226" s="49">
        <v>23</v>
      </c>
      <c r="C226" s="66">
        <v>8.3000000000000004E-2</v>
      </c>
      <c r="D226" s="49">
        <v>14.1</v>
      </c>
      <c r="E226" s="49">
        <v>0</v>
      </c>
      <c r="F226" s="49">
        <v>7.22</v>
      </c>
      <c r="G226" s="49">
        <v>22519000</v>
      </c>
      <c r="H226" s="67">
        <v>979000</v>
      </c>
      <c r="I226" s="67">
        <v>16688000</v>
      </c>
      <c r="J226" s="67">
        <v>8808000</v>
      </c>
      <c r="K226" s="68">
        <f t="shared" si="0"/>
        <v>0.11114895549500454</v>
      </c>
      <c r="L226" s="66">
        <f t="shared" si="1"/>
        <v>0.5278044103547459</v>
      </c>
      <c r="M226" s="49">
        <v>0</v>
      </c>
    </row>
    <row r="227" spans="1:13" x14ac:dyDescent="0.2">
      <c r="A227" s="49" t="s">
        <v>185</v>
      </c>
      <c r="B227" s="49">
        <v>19</v>
      </c>
      <c r="C227" s="66">
        <v>0.14000000000000001</v>
      </c>
      <c r="D227" s="49">
        <v>3</v>
      </c>
      <c r="E227" s="49">
        <v>0</v>
      </c>
      <c r="F227" s="49">
        <v>8.01</v>
      </c>
      <c r="G227" s="49" t="s">
        <v>418</v>
      </c>
      <c r="H227" s="67">
        <v>64000</v>
      </c>
      <c r="I227" s="67">
        <f>1.205*(10^8)</f>
        <v>120500000</v>
      </c>
      <c r="J227" s="67">
        <v>57069000</v>
      </c>
      <c r="K227" s="68">
        <f t="shared" si="0"/>
        <v>1.1214494734444269E-3</v>
      </c>
      <c r="L227" s="66">
        <f t="shared" si="1"/>
        <v>0.47360165975103735</v>
      </c>
      <c r="M227" s="49">
        <v>0</v>
      </c>
    </row>
    <row r="228" spans="1:13" x14ac:dyDescent="0.2">
      <c r="A228" s="49" t="s">
        <v>185</v>
      </c>
      <c r="B228" s="49">
        <v>20</v>
      </c>
      <c r="C228" s="66">
        <v>0.14000000000000001</v>
      </c>
      <c r="D228" s="49">
        <v>0.5</v>
      </c>
      <c r="E228" s="49">
        <v>0</v>
      </c>
      <c r="F228" s="49">
        <v>2.19</v>
      </c>
      <c r="G228" s="49" t="s">
        <v>419</v>
      </c>
      <c r="H228" s="67">
        <v>64000</v>
      </c>
      <c r="I228" s="67">
        <f>1.744*(10^8)</f>
        <v>174400000</v>
      </c>
      <c r="J228" s="67">
        <v>54623000</v>
      </c>
      <c r="K228" s="68">
        <f t="shared" si="0"/>
        <v>1.1716676125441664E-3</v>
      </c>
      <c r="L228" s="66">
        <f t="shared" si="1"/>
        <v>0.31320527522935782</v>
      </c>
      <c r="M228" s="49">
        <v>0</v>
      </c>
    </row>
    <row r="229" spans="1:13" x14ac:dyDescent="0.2">
      <c r="A229" s="49" t="s">
        <v>185</v>
      </c>
      <c r="B229" s="49">
        <v>21</v>
      </c>
      <c r="C229" s="66">
        <v>0.11550000000000001</v>
      </c>
      <c r="D229" s="49">
        <v>3.4</v>
      </c>
      <c r="E229" s="49">
        <v>0</v>
      </c>
      <c r="F229" s="49">
        <v>8.17</v>
      </c>
      <c r="G229" s="49" t="s">
        <v>420</v>
      </c>
      <c r="H229" s="67">
        <v>64000</v>
      </c>
      <c r="I229" s="67">
        <f>1.798*(10^8)</f>
        <v>179800000</v>
      </c>
      <c r="J229" s="67">
        <v>60018000</v>
      </c>
      <c r="K229" s="68">
        <f t="shared" si="0"/>
        <v>1.0663467626378753E-3</v>
      </c>
      <c r="L229" s="66">
        <f t="shared" si="1"/>
        <v>0.33380422691879869</v>
      </c>
      <c r="M229" s="49">
        <v>0</v>
      </c>
    </row>
    <row r="230" spans="1:13" x14ac:dyDescent="0.2">
      <c r="A230" s="49" t="s">
        <v>185</v>
      </c>
      <c r="B230" s="49">
        <v>22</v>
      </c>
      <c r="C230" s="66">
        <v>0.115</v>
      </c>
      <c r="D230" s="49">
        <v>14</v>
      </c>
      <c r="E230" s="49">
        <v>0</v>
      </c>
      <c r="F230" s="49">
        <v>3.28</v>
      </c>
      <c r="G230" s="49" t="s">
        <v>421</v>
      </c>
      <c r="H230" s="67">
        <v>64000</v>
      </c>
      <c r="I230" s="67">
        <f>1.82*(10^8)</f>
        <v>182000000</v>
      </c>
      <c r="J230" s="67">
        <v>50757000</v>
      </c>
      <c r="K230" s="68">
        <f t="shared" si="0"/>
        <v>1.260909825245779E-3</v>
      </c>
      <c r="L230" s="66">
        <f t="shared" si="1"/>
        <v>0.2788846153846154</v>
      </c>
      <c r="M230" s="49">
        <v>0</v>
      </c>
    </row>
    <row r="231" spans="1:13" x14ac:dyDescent="0.2">
      <c r="A231" s="49" t="s">
        <v>185</v>
      </c>
      <c r="B231" s="49">
        <v>23</v>
      </c>
      <c r="C231" s="66">
        <v>0.115</v>
      </c>
      <c r="D231" s="49">
        <v>14.1</v>
      </c>
      <c r="E231" s="49">
        <v>0</v>
      </c>
      <c r="F231" s="49">
        <v>6.42</v>
      </c>
      <c r="G231" s="49" t="s">
        <v>422</v>
      </c>
      <c r="H231" s="67">
        <v>1013000</v>
      </c>
      <c r="I231" s="67">
        <f>1.813*(10^8)</f>
        <v>181300000</v>
      </c>
      <c r="J231" s="67">
        <v>47519000</v>
      </c>
      <c r="K231" s="68">
        <f t="shared" si="0"/>
        <v>2.1317788674004082E-2</v>
      </c>
      <c r="L231" s="66">
        <f t="shared" si="1"/>
        <v>0.2621014892443464</v>
      </c>
      <c r="M231" s="49">
        <v>0</v>
      </c>
    </row>
    <row r="232" spans="1:13" x14ac:dyDescent="0.2">
      <c r="A232" s="49" t="s">
        <v>198</v>
      </c>
      <c r="B232" s="49">
        <v>19</v>
      </c>
      <c r="C232" s="66">
        <v>0.09</v>
      </c>
      <c r="D232" s="49">
        <v>3</v>
      </c>
      <c r="E232" s="49">
        <v>0</v>
      </c>
      <c r="F232" s="49">
        <v>13.33</v>
      </c>
      <c r="G232" s="49">
        <v>15530000</v>
      </c>
      <c r="H232" s="67">
        <v>8723000</v>
      </c>
      <c r="I232" s="67">
        <v>17425000</v>
      </c>
      <c r="J232" s="67">
        <v>9756000</v>
      </c>
      <c r="K232" s="68">
        <f t="shared" si="0"/>
        <v>0.89411644116441169</v>
      </c>
      <c r="L232" s="66">
        <f t="shared" si="1"/>
        <v>0.55988522238163563</v>
      </c>
      <c r="M232" s="49">
        <v>0</v>
      </c>
    </row>
    <row r="233" spans="1:13" x14ac:dyDescent="0.2">
      <c r="A233" s="49" t="s">
        <v>198</v>
      </c>
      <c r="B233" s="49">
        <v>20</v>
      </c>
      <c r="C233" s="66">
        <v>9.1999999999999998E-2</v>
      </c>
      <c r="D233" s="49">
        <v>0.5</v>
      </c>
      <c r="E233" s="49">
        <v>0</v>
      </c>
      <c r="F233" s="49">
        <v>15.13</v>
      </c>
      <c r="G233" s="49">
        <v>13445000</v>
      </c>
      <c r="H233" s="67">
        <v>7927000</v>
      </c>
      <c r="I233" s="67">
        <v>15073000</v>
      </c>
      <c r="J233" s="67">
        <v>9133000</v>
      </c>
      <c r="K233" s="68">
        <f t="shared" si="0"/>
        <v>0.86795138508704694</v>
      </c>
      <c r="L233" s="66">
        <f t="shared" si="1"/>
        <v>0.60591786638359979</v>
      </c>
      <c r="M233" s="49">
        <v>0</v>
      </c>
    </row>
    <row r="234" spans="1:13" x14ac:dyDescent="0.2">
      <c r="A234" s="49" t="s">
        <v>198</v>
      </c>
      <c r="B234" s="49">
        <v>21</v>
      </c>
      <c r="C234" s="66">
        <v>9.6000000000000002E-2</v>
      </c>
      <c r="D234" s="49">
        <v>3.4</v>
      </c>
      <c r="E234" s="49">
        <v>0</v>
      </c>
      <c r="F234" s="49">
        <v>19.41</v>
      </c>
      <c r="G234" s="49">
        <v>16683000</v>
      </c>
      <c r="H234" s="67">
        <v>9724000</v>
      </c>
      <c r="I234" s="67">
        <v>17963000</v>
      </c>
      <c r="J234" s="67">
        <v>11650000</v>
      </c>
      <c r="K234" s="68">
        <f t="shared" si="0"/>
        <v>0.83467811158798288</v>
      </c>
      <c r="L234" s="66">
        <f t="shared" si="1"/>
        <v>0.64855536380337364</v>
      </c>
      <c r="M234" s="49">
        <v>0</v>
      </c>
    </row>
    <row r="235" spans="1:13" x14ac:dyDescent="0.2">
      <c r="A235" s="49" t="s">
        <v>198</v>
      </c>
      <c r="B235" s="49">
        <v>22</v>
      </c>
      <c r="C235" s="66">
        <v>0.11</v>
      </c>
      <c r="D235" s="49">
        <v>14</v>
      </c>
      <c r="E235" s="49">
        <v>0</v>
      </c>
      <c r="F235" s="49">
        <v>15.21</v>
      </c>
      <c r="G235" s="49">
        <v>22308000</v>
      </c>
      <c r="H235" s="67">
        <v>12678000</v>
      </c>
      <c r="I235" s="67">
        <v>23553000</v>
      </c>
      <c r="J235" s="67">
        <v>13767000</v>
      </c>
      <c r="K235" s="68">
        <f t="shared" si="0"/>
        <v>0.92089779908476788</v>
      </c>
      <c r="L235" s="66">
        <f t="shared" si="1"/>
        <v>0.58451152719398802</v>
      </c>
      <c r="M235" s="49">
        <v>0</v>
      </c>
    </row>
    <row r="236" spans="1:13" x14ac:dyDescent="0.2">
      <c r="A236" s="49" t="s">
        <v>198</v>
      </c>
      <c r="B236" s="49">
        <v>23</v>
      </c>
      <c r="C236" s="66">
        <v>8.4000000000000005E-2</v>
      </c>
      <c r="D236" s="49">
        <v>14.1</v>
      </c>
      <c r="E236" s="49">
        <v>0</v>
      </c>
      <c r="F236" s="49">
        <v>16.57</v>
      </c>
      <c r="G236" s="49">
        <v>22113000</v>
      </c>
      <c r="H236" s="67">
        <v>12501000</v>
      </c>
      <c r="I236" s="67">
        <v>22507000</v>
      </c>
      <c r="J236" s="67">
        <v>14577000</v>
      </c>
      <c r="K236" s="68">
        <f t="shared" si="0"/>
        <v>0.85758386499279682</v>
      </c>
      <c r="L236" s="66">
        <f t="shared" si="1"/>
        <v>0.64766517083574004</v>
      </c>
      <c r="M236" s="49">
        <v>0</v>
      </c>
    </row>
    <row r="237" spans="1:13" x14ac:dyDescent="0.2">
      <c r="A237" s="49" t="s">
        <v>187</v>
      </c>
      <c r="B237" s="49">
        <v>19</v>
      </c>
      <c r="C237" s="66">
        <v>0.156</v>
      </c>
      <c r="D237" s="49">
        <v>3</v>
      </c>
      <c r="E237" s="49">
        <v>0</v>
      </c>
      <c r="F237" s="49">
        <v>23.57</v>
      </c>
      <c r="G237" s="49">
        <v>450618</v>
      </c>
      <c r="H237" s="67">
        <v>902815</v>
      </c>
      <c r="I237" s="67">
        <v>2398711</v>
      </c>
      <c r="J237" s="67">
        <v>1280450</v>
      </c>
      <c r="K237" s="68">
        <f t="shared" si="0"/>
        <v>0.70507634034909605</v>
      </c>
      <c r="L237" s="66">
        <f t="shared" si="1"/>
        <v>0.53380753246222656</v>
      </c>
      <c r="M237" s="49">
        <v>0</v>
      </c>
    </row>
    <row r="238" spans="1:13" x14ac:dyDescent="0.2">
      <c r="A238" s="49" t="s">
        <v>187</v>
      </c>
      <c r="B238" s="49">
        <v>20</v>
      </c>
      <c r="C238" s="66">
        <v>0.155</v>
      </c>
      <c r="D238" s="49">
        <v>0.5</v>
      </c>
      <c r="E238" s="49">
        <v>0</v>
      </c>
      <c r="F238" s="49">
        <v>20.399999999999999</v>
      </c>
      <c r="G238" s="49">
        <v>549742</v>
      </c>
      <c r="H238" s="67">
        <v>902815</v>
      </c>
      <c r="I238" s="67">
        <v>2373309</v>
      </c>
      <c r="J238" s="67">
        <v>1349619</v>
      </c>
      <c r="K238" s="68">
        <f t="shared" si="0"/>
        <v>0.66894064176630585</v>
      </c>
      <c r="L238" s="66">
        <f t="shared" si="1"/>
        <v>0.56866552143020566</v>
      </c>
      <c r="M238" s="49">
        <v>0</v>
      </c>
    </row>
    <row r="239" spans="1:13" x14ac:dyDescent="0.2">
      <c r="A239" s="49" t="s">
        <v>187</v>
      </c>
      <c r="B239" s="49">
        <v>21</v>
      </c>
      <c r="C239" s="66">
        <v>0.14299999999999999</v>
      </c>
      <c r="D239" s="49">
        <v>3.4</v>
      </c>
      <c r="E239" s="49">
        <v>0</v>
      </c>
      <c r="F239" s="49" t="s">
        <v>423</v>
      </c>
      <c r="G239" s="49">
        <v>734500</v>
      </c>
      <c r="H239" s="67">
        <v>902800</v>
      </c>
      <c r="I239" s="67">
        <v>2133500</v>
      </c>
      <c r="J239" s="67">
        <v>1516900</v>
      </c>
      <c r="K239" s="68">
        <f t="shared" si="0"/>
        <v>0.59516118399367135</v>
      </c>
      <c r="L239" s="66">
        <f t="shared" si="1"/>
        <v>0.71099132880243732</v>
      </c>
      <c r="M239" s="49">
        <v>0</v>
      </c>
    </row>
    <row r="240" spans="1:13" x14ac:dyDescent="0.2">
      <c r="A240" s="49" t="s">
        <v>187</v>
      </c>
      <c r="B240" s="49">
        <v>22</v>
      </c>
      <c r="C240" s="66">
        <v>0.14699999999999999</v>
      </c>
      <c r="D240" s="49">
        <v>14</v>
      </c>
      <c r="E240" s="49">
        <v>0</v>
      </c>
      <c r="F240" s="49" t="s">
        <v>424</v>
      </c>
      <c r="G240" s="49">
        <v>901800</v>
      </c>
      <c r="H240" s="67">
        <v>902800</v>
      </c>
      <c r="I240" s="67">
        <v>2094600</v>
      </c>
      <c r="J240" s="67">
        <v>1432700</v>
      </c>
      <c r="K240" s="68">
        <f t="shared" si="0"/>
        <v>0.63013889858309491</v>
      </c>
      <c r="L240" s="66">
        <f t="shared" si="1"/>
        <v>0.68399694452401416</v>
      </c>
      <c r="M240" s="49">
        <v>0</v>
      </c>
    </row>
    <row r="241" spans="1:13" x14ac:dyDescent="0.2">
      <c r="A241" s="49" t="s">
        <v>187</v>
      </c>
      <c r="B241" s="49">
        <v>23</v>
      </c>
      <c r="C241" s="66">
        <v>0.161</v>
      </c>
      <c r="D241" s="49">
        <v>14.1</v>
      </c>
      <c r="E241" s="49">
        <v>0</v>
      </c>
      <c r="F241" s="49" t="s">
        <v>425</v>
      </c>
      <c r="G241" s="49">
        <v>1020400</v>
      </c>
      <c r="H241" s="67">
        <v>902800</v>
      </c>
      <c r="I241" s="67">
        <v>2156000</v>
      </c>
      <c r="J241" s="67">
        <v>1259600</v>
      </c>
      <c r="K241" s="68">
        <f t="shared" si="0"/>
        <v>0.71673547157827877</v>
      </c>
      <c r="L241" s="66">
        <f t="shared" si="1"/>
        <v>0.58423005565862707</v>
      </c>
      <c r="M241" s="49">
        <v>0</v>
      </c>
    </row>
    <row r="242" spans="1:13" x14ac:dyDescent="0.2">
      <c r="A242" s="49" t="s">
        <v>194</v>
      </c>
      <c r="B242" s="49">
        <v>19</v>
      </c>
      <c r="C242" s="66">
        <v>8.7999999999999995E-2</v>
      </c>
      <c r="D242" s="49">
        <v>3</v>
      </c>
      <c r="E242" s="49">
        <v>0</v>
      </c>
      <c r="F242" s="49">
        <v>23</v>
      </c>
      <c r="G242" s="49">
        <v>41558415</v>
      </c>
      <c r="H242" s="67">
        <v>55970820</v>
      </c>
      <c r="I242" s="67">
        <f>1.107*(10^8)</f>
        <v>110700000</v>
      </c>
      <c r="J242" s="67">
        <v>63347306</v>
      </c>
      <c r="K242" s="68">
        <f t="shared" si="0"/>
        <v>0.88355485867070649</v>
      </c>
      <c r="L242" s="66">
        <f t="shared" si="1"/>
        <v>0.5722430532971996</v>
      </c>
      <c r="M242" s="49">
        <v>0</v>
      </c>
    </row>
    <row r="243" spans="1:13" x14ac:dyDescent="0.2">
      <c r="A243" s="49" t="s">
        <v>194</v>
      </c>
      <c r="B243" s="49">
        <v>20</v>
      </c>
      <c r="C243" s="66">
        <v>0.10199999999999999</v>
      </c>
      <c r="D243" s="49">
        <v>0.5</v>
      </c>
      <c r="E243" s="49">
        <v>85000</v>
      </c>
      <c r="F243" s="49">
        <v>21.07</v>
      </c>
      <c r="G243" s="49">
        <v>39300339</v>
      </c>
      <c r="H243" s="67">
        <v>57251702</v>
      </c>
      <c r="I243" s="67">
        <f>1.074*(10^8)</f>
        <v>107400000</v>
      </c>
      <c r="J243" s="67">
        <v>59551564</v>
      </c>
      <c r="K243" s="68">
        <f t="shared" si="0"/>
        <v>0.96138032579631327</v>
      </c>
      <c r="L243" s="66">
        <f t="shared" si="1"/>
        <v>0.55448383612662944</v>
      </c>
      <c r="M243" s="49">
        <v>1</v>
      </c>
    </row>
    <row r="244" spans="1:13" x14ac:dyDescent="0.2">
      <c r="A244" s="49" t="s">
        <v>194</v>
      </c>
      <c r="B244" s="49">
        <v>21</v>
      </c>
      <c r="C244" s="66">
        <v>0.10199999999999999</v>
      </c>
      <c r="D244" s="49">
        <v>3.4</v>
      </c>
      <c r="E244" s="49">
        <v>0</v>
      </c>
      <c r="F244" s="49">
        <v>23.38</v>
      </c>
      <c r="G244" s="49">
        <v>46624514</v>
      </c>
      <c r="H244" s="67">
        <v>84109862</v>
      </c>
      <c r="I244" s="67">
        <f>1.445*(10^8)</f>
        <v>144500000</v>
      </c>
      <c r="J244" s="67">
        <v>89506645</v>
      </c>
      <c r="K244" s="68">
        <f t="shared" si="0"/>
        <v>0.93970522523774636</v>
      </c>
      <c r="L244" s="66">
        <f t="shared" si="1"/>
        <v>0.61942314878892735</v>
      </c>
      <c r="M244" s="49">
        <v>0</v>
      </c>
    </row>
    <row r="245" spans="1:13" x14ac:dyDescent="0.2">
      <c r="A245" s="49" t="s">
        <v>194</v>
      </c>
      <c r="B245" s="49">
        <v>22</v>
      </c>
      <c r="C245" s="66">
        <v>0.1</v>
      </c>
      <c r="D245" s="49">
        <v>14</v>
      </c>
      <c r="E245" s="49">
        <v>0</v>
      </c>
      <c r="F245" s="49">
        <v>25.1</v>
      </c>
      <c r="G245" s="49">
        <v>59481611</v>
      </c>
      <c r="H245" s="67">
        <f>1.068*(10^8)</f>
        <v>106800000</v>
      </c>
      <c r="I245" s="67">
        <f>1.833*(10^8)</f>
        <v>183300000</v>
      </c>
      <c r="J245" s="67">
        <f>1.093*(10^8)</f>
        <v>109300000</v>
      </c>
      <c r="K245" s="68">
        <f t="shared" si="0"/>
        <v>0.97712717291857276</v>
      </c>
      <c r="L245" s="66">
        <f t="shared" si="1"/>
        <v>0.59629023458810693</v>
      </c>
      <c r="M245" s="49">
        <v>0</v>
      </c>
    </row>
    <row r="246" spans="1:13" x14ac:dyDescent="0.2">
      <c r="A246" s="49" t="s">
        <v>194</v>
      </c>
      <c r="B246" s="49">
        <v>23</v>
      </c>
      <c r="C246" s="66">
        <v>0.115</v>
      </c>
      <c r="D246" s="49">
        <v>14.1</v>
      </c>
      <c r="E246" s="49">
        <v>0</v>
      </c>
      <c r="F246" s="49">
        <v>23.01</v>
      </c>
      <c r="G246" s="49">
        <v>62507097</v>
      </c>
      <c r="H246" s="67">
        <v>11915994</v>
      </c>
      <c r="I246" s="67">
        <f>1.873*(10^8)</f>
        <v>187300000</v>
      </c>
      <c r="J246" s="67">
        <f>1.111*(10^8)</f>
        <v>111100000</v>
      </c>
      <c r="K246" s="68">
        <f t="shared" si="0"/>
        <v>0.10725467146714672</v>
      </c>
      <c r="L246" s="66">
        <f t="shared" si="1"/>
        <v>0.59316604378003202</v>
      </c>
      <c r="M246" s="49">
        <v>0</v>
      </c>
    </row>
    <row r="247" spans="1:13" x14ac:dyDescent="0.2">
      <c r="A247" s="49" t="s">
        <v>196</v>
      </c>
      <c r="B247" s="49">
        <v>19</v>
      </c>
      <c r="C247" s="66">
        <v>0.156</v>
      </c>
      <c r="D247" s="49">
        <v>3</v>
      </c>
      <c r="E247" s="49">
        <v>0</v>
      </c>
      <c r="F247" s="49">
        <v>6.19</v>
      </c>
      <c r="G247" s="49">
        <v>1856309</v>
      </c>
      <c r="H247" s="67">
        <v>257200</v>
      </c>
      <c r="I247" s="67">
        <v>1497856</v>
      </c>
      <c r="J247" s="67">
        <v>574400</v>
      </c>
      <c r="K247" s="68">
        <f t="shared" si="0"/>
        <v>0.4477715877437326</v>
      </c>
      <c r="L247" s="66">
        <f t="shared" si="1"/>
        <v>0.38348145616133994</v>
      </c>
      <c r="M247" s="49">
        <v>0</v>
      </c>
    </row>
    <row r="248" spans="1:13" x14ac:dyDescent="0.2">
      <c r="A248" s="49" t="s">
        <v>196</v>
      </c>
      <c r="B248" s="49">
        <v>20</v>
      </c>
      <c r="C248" s="66">
        <v>0.127</v>
      </c>
      <c r="D248" s="49">
        <v>0.5</v>
      </c>
      <c r="E248" s="49">
        <v>0</v>
      </c>
      <c r="F248" s="49">
        <v>8.5299999999999994</v>
      </c>
      <c r="G248" s="49">
        <v>2095140</v>
      </c>
      <c r="H248" s="67">
        <v>257200</v>
      </c>
      <c r="I248" s="67">
        <v>1953262</v>
      </c>
      <c r="J248" s="67">
        <v>649535</v>
      </c>
      <c r="K248" s="68">
        <f t="shared" si="0"/>
        <v>0.39597558253211912</v>
      </c>
      <c r="L248" s="66">
        <f t="shared" si="1"/>
        <v>0.33253859441283351</v>
      </c>
      <c r="M248" s="49">
        <v>0</v>
      </c>
    </row>
    <row r="249" spans="1:13" x14ac:dyDescent="0.2">
      <c r="A249" s="49" t="s">
        <v>196</v>
      </c>
      <c r="B249" s="49">
        <v>21</v>
      </c>
      <c r="C249" s="66">
        <v>0.123</v>
      </c>
      <c r="D249" s="49">
        <v>3.4</v>
      </c>
      <c r="E249" s="49">
        <v>0</v>
      </c>
      <c r="F249" s="49">
        <v>10.17</v>
      </c>
      <c r="G249" s="49">
        <v>3524800</v>
      </c>
      <c r="H249" s="67">
        <v>389489</v>
      </c>
      <c r="I249" s="67">
        <v>4715200</v>
      </c>
      <c r="J249" s="67">
        <v>1642100</v>
      </c>
      <c r="K249" s="68">
        <f t="shared" si="0"/>
        <v>0.23718957432555873</v>
      </c>
      <c r="L249" s="66">
        <f t="shared" si="1"/>
        <v>0.34825670173057344</v>
      </c>
      <c r="M249" s="49">
        <v>0</v>
      </c>
    </row>
    <row r="250" spans="1:13" x14ac:dyDescent="0.2">
      <c r="A250" s="49" t="s">
        <v>196</v>
      </c>
      <c r="B250" s="49">
        <v>22</v>
      </c>
      <c r="C250" s="66">
        <v>0.156</v>
      </c>
      <c r="D250" s="49">
        <v>14</v>
      </c>
      <c r="E250" s="49">
        <v>0</v>
      </c>
      <c r="F250" s="49">
        <v>16.489999999999998</v>
      </c>
      <c r="G250" s="49">
        <v>6630500</v>
      </c>
      <c r="H250" s="67">
        <v>1064400</v>
      </c>
      <c r="I250" s="67">
        <v>7388400</v>
      </c>
      <c r="J250" s="67">
        <v>2768200</v>
      </c>
      <c r="K250" s="68">
        <f t="shared" si="0"/>
        <v>0.38450978975507549</v>
      </c>
      <c r="L250" s="66">
        <f t="shared" si="1"/>
        <v>0.37466839911212169</v>
      </c>
      <c r="M250" s="49">
        <v>0</v>
      </c>
    </row>
    <row r="251" spans="1:13" x14ac:dyDescent="0.2">
      <c r="A251" s="49" t="s">
        <v>196</v>
      </c>
      <c r="B251" s="49">
        <v>23</v>
      </c>
      <c r="C251" s="66">
        <v>0.13500000000000001</v>
      </c>
      <c r="D251" s="49">
        <v>14.1</v>
      </c>
      <c r="E251" s="49">
        <v>0</v>
      </c>
      <c r="F251" s="49">
        <v>16.04</v>
      </c>
      <c r="G251" s="49">
        <v>8240000</v>
      </c>
      <c r="H251" s="67">
        <v>2042400</v>
      </c>
      <c r="I251" s="67">
        <v>8733000</v>
      </c>
      <c r="J251" s="67">
        <v>3402000</v>
      </c>
      <c r="K251" s="68">
        <f t="shared" si="0"/>
        <v>0.60035273368606701</v>
      </c>
      <c r="L251" s="66">
        <f t="shared" si="1"/>
        <v>0.389556853315012</v>
      </c>
      <c r="M251" s="49">
        <v>0</v>
      </c>
    </row>
    <row r="252" spans="1:13" x14ac:dyDescent="0.2">
      <c r="A252" s="49" t="s">
        <v>200</v>
      </c>
      <c r="B252" s="49">
        <v>19</v>
      </c>
      <c r="C252" s="66">
        <v>7.6999999999999999E-2</v>
      </c>
      <c r="D252" s="49">
        <v>3</v>
      </c>
      <c r="E252" s="49">
        <v>0</v>
      </c>
      <c r="F252" s="49">
        <v>7.05</v>
      </c>
      <c r="G252" s="49">
        <v>7467000</v>
      </c>
      <c r="H252" s="67">
        <v>3897000</v>
      </c>
      <c r="I252" s="67">
        <v>8231000</v>
      </c>
      <c r="J252" s="67">
        <v>2284000</v>
      </c>
      <c r="K252" s="68">
        <f t="shared" si="0"/>
        <v>1.7062171628721541</v>
      </c>
      <c r="L252" s="66">
        <f t="shared" si="1"/>
        <v>0.27748754707811929</v>
      </c>
      <c r="M252" s="49">
        <v>0</v>
      </c>
    </row>
    <row r="253" spans="1:13" x14ac:dyDescent="0.2">
      <c r="A253" s="49" t="s">
        <v>200</v>
      </c>
      <c r="B253" s="49">
        <v>20</v>
      </c>
      <c r="C253" s="66">
        <v>7.8E-2</v>
      </c>
      <c r="D253" s="49">
        <v>0.5</v>
      </c>
      <c r="E253" s="49">
        <v>0</v>
      </c>
      <c r="F253" s="49">
        <v>6.14</v>
      </c>
      <c r="G253" s="49">
        <v>7797000</v>
      </c>
      <c r="H253" s="67">
        <v>3815000</v>
      </c>
      <c r="I253" s="67">
        <v>8044000</v>
      </c>
      <c r="J253" s="67">
        <v>2354000</v>
      </c>
      <c r="K253" s="68">
        <f t="shared" si="0"/>
        <v>1.6206457094307563</v>
      </c>
      <c r="L253" s="66">
        <f t="shared" si="1"/>
        <v>0.2926404773744406</v>
      </c>
      <c r="M253" s="49">
        <v>0</v>
      </c>
    </row>
    <row r="254" spans="1:13" x14ac:dyDescent="0.2">
      <c r="A254" s="49" t="s">
        <v>200</v>
      </c>
      <c r="B254" s="49">
        <v>21</v>
      </c>
      <c r="C254" s="66">
        <v>7.1999999999999995E-2</v>
      </c>
      <c r="D254" s="49">
        <v>3.4</v>
      </c>
      <c r="E254" s="49">
        <v>0</v>
      </c>
      <c r="F254" s="49">
        <v>0</v>
      </c>
      <c r="G254" s="49">
        <v>8176000</v>
      </c>
      <c r="H254" s="67">
        <v>4148000</v>
      </c>
      <c r="I254" s="67">
        <v>9002000</v>
      </c>
      <c r="J254" s="67">
        <v>2553000</v>
      </c>
      <c r="K254" s="68">
        <f t="shared" si="0"/>
        <v>1.6247551899725812</v>
      </c>
      <c r="L254" s="66">
        <f t="shared" si="1"/>
        <v>0.28360364363474783</v>
      </c>
      <c r="M254" s="49">
        <v>0</v>
      </c>
    </row>
    <row r="255" spans="1:13" x14ac:dyDescent="0.2">
      <c r="A255" s="49" t="s">
        <v>200</v>
      </c>
      <c r="B255" s="49">
        <v>22</v>
      </c>
      <c r="C255" s="66">
        <v>9.2999999999999999E-2</v>
      </c>
      <c r="D255" s="49">
        <v>14</v>
      </c>
      <c r="E255" s="49">
        <v>0</v>
      </c>
      <c r="F255" s="49">
        <v>5.03</v>
      </c>
      <c r="G255" s="49">
        <v>9241000</v>
      </c>
      <c r="H255" s="67">
        <v>4409000</v>
      </c>
      <c r="I255" s="67">
        <v>9806000</v>
      </c>
      <c r="J255" s="67">
        <v>2739000</v>
      </c>
      <c r="K255" s="68">
        <f t="shared" si="0"/>
        <v>1.6097115735669953</v>
      </c>
      <c r="L255" s="66">
        <f t="shared" si="1"/>
        <v>0.27931878441770347</v>
      </c>
      <c r="M255" s="49">
        <v>0</v>
      </c>
    </row>
    <row r="256" spans="1:13" x14ac:dyDescent="0.2">
      <c r="A256" s="49" t="s">
        <v>200</v>
      </c>
      <c r="B256" s="49">
        <v>23</v>
      </c>
      <c r="C256" s="66">
        <v>9.8000000000000004E-2</v>
      </c>
      <c r="D256" s="49">
        <v>14.1</v>
      </c>
      <c r="E256" s="49">
        <v>0</v>
      </c>
      <c r="F256" s="49">
        <v>5.38</v>
      </c>
      <c r="G256" s="49">
        <v>9727000</v>
      </c>
      <c r="H256" s="67">
        <v>4402000</v>
      </c>
      <c r="I256" s="67">
        <v>10029000</v>
      </c>
      <c r="J256" s="67">
        <v>2887000</v>
      </c>
      <c r="K256" s="68">
        <f t="shared" si="0"/>
        <v>1.5247661932802217</v>
      </c>
      <c r="L256" s="66">
        <f t="shared" si="1"/>
        <v>0.28786519094625584</v>
      </c>
      <c r="M256" s="49">
        <v>0</v>
      </c>
    </row>
    <row r="257" spans="1:13" x14ac:dyDescent="0.2">
      <c r="A257" s="49" t="s">
        <v>202</v>
      </c>
      <c r="B257" s="49">
        <v>19</v>
      </c>
      <c r="C257" s="66">
        <v>0.11</v>
      </c>
      <c r="D257" s="49">
        <v>3</v>
      </c>
      <c r="E257" s="49">
        <v>0</v>
      </c>
      <c r="F257" s="49">
        <v>9.17</v>
      </c>
      <c r="G257" s="49">
        <v>42480000</v>
      </c>
      <c r="H257" s="67">
        <v>7338000</v>
      </c>
      <c r="I257" s="67">
        <v>41981000</v>
      </c>
      <c r="J257" s="67">
        <v>17281000</v>
      </c>
      <c r="K257" s="68">
        <f t="shared" ref="K257:K500" si="2">H257/J257</f>
        <v>0.42462820438632026</v>
      </c>
      <c r="L257" s="66">
        <f t="shared" ref="L257:L500" si="3">J257/I257</f>
        <v>0.41163859841356804</v>
      </c>
      <c r="M257" s="49">
        <v>0</v>
      </c>
    </row>
    <row r="258" spans="1:13" x14ac:dyDescent="0.2">
      <c r="A258" s="49" t="s">
        <v>202</v>
      </c>
      <c r="B258" s="49">
        <v>20</v>
      </c>
      <c r="C258" s="66">
        <v>0.11</v>
      </c>
      <c r="D258" s="49">
        <v>0.5</v>
      </c>
      <c r="E258" s="49">
        <v>0</v>
      </c>
      <c r="F258" s="49">
        <v>9.24</v>
      </c>
      <c r="G258" s="49">
        <v>41969000</v>
      </c>
      <c r="H258" s="67">
        <v>6905000</v>
      </c>
      <c r="I258" s="67">
        <v>43518000</v>
      </c>
      <c r="J258" s="67">
        <v>17059000</v>
      </c>
      <c r="K258" s="68">
        <f t="shared" si="2"/>
        <v>0.40477167477577819</v>
      </c>
      <c r="L258" s="66">
        <f t="shared" si="3"/>
        <v>0.39199871317615698</v>
      </c>
      <c r="M258" s="49">
        <v>0</v>
      </c>
    </row>
    <row r="259" spans="1:13" x14ac:dyDescent="0.2">
      <c r="A259" s="49" t="s">
        <v>202</v>
      </c>
      <c r="B259" s="49">
        <v>21</v>
      </c>
      <c r="C259" s="66">
        <v>0.1</v>
      </c>
      <c r="D259" s="49">
        <v>3.4</v>
      </c>
      <c r="E259" s="49">
        <v>0</v>
      </c>
      <c r="F259" s="49">
        <v>13.28</v>
      </c>
      <c r="G259" s="49">
        <v>47171000</v>
      </c>
      <c r="H259" s="67">
        <v>9305000</v>
      </c>
      <c r="I259" s="67">
        <v>50920000</v>
      </c>
      <c r="J259" s="67">
        <v>21633000</v>
      </c>
      <c r="K259" s="68">
        <f t="shared" si="2"/>
        <v>0.43012989414320713</v>
      </c>
      <c r="L259" s="66">
        <f t="shared" si="3"/>
        <v>0.42484289080911231</v>
      </c>
      <c r="M259" s="49">
        <v>0</v>
      </c>
    </row>
    <row r="260" spans="1:13" x14ac:dyDescent="0.2">
      <c r="A260" s="49" t="s">
        <v>202</v>
      </c>
      <c r="B260" s="49">
        <v>22</v>
      </c>
      <c r="C260" s="66">
        <v>0.11</v>
      </c>
      <c r="D260" s="49">
        <v>14</v>
      </c>
      <c r="E260" s="49">
        <v>0</v>
      </c>
      <c r="F260" s="49">
        <v>6.29</v>
      </c>
      <c r="G260" s="49">
        <v>54249000</v>
      </c>
      <c r="H260" s="67">
        <v>10187000</v>
      </c>
      <c r="I260" s="67">
        <v>61636000</v>
      </c>
      <c r="J260" s="67">
        <v>24002000</v>
      </c>
      <c r="K260" s="68">
        <f t="shared" si="2"/>
        <v>0.42442296475293728</v>
      </c>
      <c r="L260" s="66">
        <f t="shared" si="3"/>
        <v>0.38941527678629373</v>
      </c>
      <c r="M260" s="49">
        <v>0</v>
      </c>
    </row>
    <row r="261" spans="1:13" x14ac:dyDescent="0.2">
      <c r="A261" s="49" t="s">
        <v>202</v>
      </c>
      <c r="B261" s="49">
        <v>23</v>
      </c>
      <c r="C261" s="66">
        <v>0.11</v>
      </c>
      <c r="D261" s="49">
        <v>14.1</v>
      </c>
      <c r="E261" s="49">
        <v>0</v>
      </c>
      <c r="F261" s="49">
        <v>8</v>
      </c>
      <c r="G261" s="49">
        <v>53290000</v>
      </c>
      <c r="H261" s="67">
        <v>9920000</v>
      </c>
      <c r="I261" s="67">
        <v>57610000</v>
      </c>
      <c r="J261" s="67">
        <v>23770000</v>
      </c>
      <c r="K261" s="68">
        <f t="shared" si="2"/>
        <v>0.41733277240218764</v>
      </c>
      <c r="L261" s="66">
        <f t="shared" si="3"/>
        <v>0.412601978823121</v>
      </c>
      <c r="M261" s="49">
        <v>0</v>
      </c>
    </row>
    <row r="262" spans="1:13" x14ac:dyDescent="0.2">
      <c r="A262" s="49" t="s">
        <v>208</v>
      </c>
      <c r="B262" s="49">
        <v>20</v>
      </c>
      <c r="C262" s="66">
        <v>0.108</v>
      </c>
      <c r="D262" s="49">
        <v>0.5</v>
      </c>
      <c r="E262" s="49">
        <v>0</v>
      </c>
      <c r="F262" s="49">
        <v>18.25</v>
      </c>
      <c r="G262" s="49">
        <v>532000</v>
      </c>
      <c r="H262" s="67">
        <v>54500</v>
      </c>
      <c r="I262" s="67">
        <v>515800</v>
      </c>
      <c r="J262" s="67">
        <v>378900</v>
      </c>
      <c r="K262" s="68">
        <f t="shared" si="2"/>
        <v>0.14383742412245976</v>
      </c>
      <c r="L262" s="66">
        <f t="shared" si="3"/>
        <v>0.73458704924389295</v>
      </c>
      <c r="M262" s="49">
        <v>0</v>
      </c>
    </row>
    <row r="263" spans="1:13" x14ac:dyDescent="0.2">
      <c r="A263" s="49" t="s">
        <v>208</v>
      </c>
      <c r="B263" s="49">
        <v>21</v>
      </c>
      <c r="C263" s="66">
        <v>0.108</v>
      </c>
      <c r="D263" s="49">
        <v>3.4</v>
      </c>
      <c r="E263" s="49">
        <v>0</v>
      </c>
      <c r="F263" s="49">
        <v>4.38</v>
      </c>
      <c r="G263" s="49">
        <v>593000</v>
      </c>
      <c r="H263" s="67">
        <v>54500</v>
      </c>
      <c r="I263" s="67">
        <v>690000</v>
      </c>
      <c r="J263" s="67">
        <v>417500</v>
      </c>
      <c r="K263" s="68">
        <f t="shared" si="2"/>
        <v>0.13053892215568863</v>
      </c>
      <c r="L263" s="66">
        <f t="shared" si="3"/>
        <v>0.60507246376811596</v>
      </c>
      <c r="M263" s="49">
        <v>0</v>
      </c>
    </row>
    <row r="264" spans="1:13" x14ac:dyDescent="0.2">
      <c r="A264" s="49" t="s">
        <v>208</v>
      </c>
      <c r="B264" s="49">
        <v>22</v>
      </c>
      <c r="C264" s="66">
        <v>0.112</v>
      </c>
      <c r="D264" s="49">
        <v>14</v>
      </c>
      <c r="E264" s="49">
        <v>0</v>
      </c>
      <c r="F264" s="49">
        <v>9.34</v>
      </c>
      <c r="G264" s="49">
        <v>775500</v>
      </c>
      <c r="H264" s="67">
        <v>56200</v>
      </c>
      <c r="I264" s="67">
        <v>799900</v>
      </c>
      <c r="J264" s="67">
        <v>510000</v>
      </c>
      <c r="K264" s="68">
        <f t="shared" si="2"/>
        <v>0.11019607843137255</v>
      </c>
      <c r="L264" s="66">
        <f t="shared" si="3"/>
        <v>0.63757969746218279</v>
      </c>
      <c r="M264" s="49">
        <v>0</v>
      </c>
    </row>
    <row r="265" spans="1:13" x14ac:dyDescent="0.2">
      <c r="A265" s="49" t="s">
        <v>208</v>
      </c>
      <c r="B265" s="49">
        <v>23</v>
      </c>
      <c r="C265" s="66">
        <v>0.125</v>
      </c>
      <c r="D265" s="49">
        <v>14.1</v>
      </c>
      <c r="E265" s="49">
        <v>0</v>
      </c>
      <c r="F265" s="49">
        <v>20.32</v>
      </c>
      <c r="G265" s="49">
        <v>1238500</v>
      </c>
      <c r="H265" s="67">
        <v>58000</v>
      </c>
      <c r="I265" s="67">
        <v>1053000</v>
      </c>
      <c r="J265" s="67">
        <v>720400</v>
      </c>
      <c r="K265" s="68">
        <f t="shared" si="2"/>
        <v>8.0510827318156578E-2</v>
      </c>
      <c r="L265" s="66">
        <f t="shared" si="3"/>
        <v>0.68414055080721747</v>
      </c>
      <c r="M265" s="49">
        <v>0</v>
      </c>
    </row>
    <row r="266" spans="1:13" x14ac:dyDescent="0.2">
      <c r="A266" s="49" t="s">
        <v>204</v>
      </c>
      <c r="B266" s="49">
        <v>19</v>
      </c>
      <c r="C266" s="66">
        <v>0.09</v>
      </c>
      <c r="D266" s="49">
        <v>3</v>
      </c>
      <c r="E266" s="49">
        <v>0</v>
      </c>
      <c r="F266" s="49">
        <v>12.14</v>
      </c>
      <c r="G266" s="49">
        <v>18564000</v>
      </c>
      <c r="H266" s="67">
        <v>4031000</v>
      </c>
      <c r="I266" s="67">
        <v>17544000</v>
      </c>
      <c r="J266" s="67">
        <v>7157000</v>
      </c>
      <c r="K266" s="68">
        <f t="shared" si="2"/>
        <v>0.56322481486656417</v>
      </c>
      <c r="L266" s="66">
        <f t="shared" si="3"/>
        <v>0.40794573643410853</v>
      </c>
      <c r="M266" s="49">
        <v>0</v>
      </c>
    </row>
    <row r="267" spans="1:13" x14ac:dyDescent="0.2">
      <c r="A267" s="49" t="s">
        <v>204</v>
      </c>
      <c r="B267" s="49">
        <v>20</v>
      </c>
      <c r="C267" s="66">
        <v>0.08</v>
      </c>
      <c r="D267" s="49">
        <v>0.5</v>
      </c>
      <c r="E267" s="49">
        <v>141000</v>
      </c>
      <c r="F267" s="49">
        <v>12.29</v>
      </c>
      <c r="G267" s="49">
        <v>19562000</v>
      </c>
      <c r="H267" s="67">
        <v>4306000</v>
      </c>
      <c r="I267" s="67">
        <v>17962000</v>
      </c>
      <c r="J267" s="67">
        <v>8624000</v>
      </c>
      <c r="K267" s="68">
        <f t="shared" si="2"/>
        <v>0.49930426716141002</v>
      </c>
      <c r="L267" s="66">
        <f t="shared" si="3"/>
        <v>0.48012470771628996</v>
      </c>
      <c r="M267" s="49">
        <v>1</v>
      </c>
    </row>
    <row r="268" spans="1:13" x14ac:dyDescent="0.2">
      <c r="A268" s="49" t="s">
        <v>204</v>
      </c>
      <c r="B268" s="49">
        <v>21</v>
      </c>
      <c r="C268" s="66">
        <v>0.08</v>
      </c>
      <c r="D268" s="49">
        <v>3.4</v>
      </c>
      <c r="E268" s="49">
        <v>55000</v>
      </c>
      <c r="F268" s="49">
        <v>13.14</v>
      </c>
      <c r="G268" s="49">
        <v>21863000</v>
      </c>
      <c r="H268" s="67">
        <v>5439000</v>
      </c>
      <c r="I268" s="67">
        <v>22000000</v>
      </c>
      <c r="J268" s="67">
        <v>10292000</v>
      </c>
      <c r="K268" s="68">
        <f t="shared" si="2"/>
        <v>0.5284687135639331</v>
      </c>
      <c r="L268" s="66">
        <f t="shared" si="3"/>
        <v>0.4678181818181818</v>
      </c>
      <c r="M268" s="49">
        <v>1</v>
      </c>
    </row>
    <row r="269" spans="1:13" x14ac:dyDescent="0.2">
      <c r="A269" s="49" t="s">
        <v>204</v>
      </c>
      <c r="B269" s="49">
        <v>22</v>
      </c>
      <c r="C269" s="66">
        <v>0.09</v>
      </c>
      <c r="D269" s="49">
        <v>14</v>
      </c>
      <c r="E269" s="49">
        <v>72000</v>
      </c>
      <c r="F269" s="49">
        <v>13.56</v>
      </c>
      <c r="G269" s="49">
        <v>27341000</v>
      </c>
      <c r="H269" s="67">
        <v>7649000</v>
      </c>
      <c r="I269" s="67">
        <v>28862000</v>
      </c>
      <c r="J269" s="67">
        <v>12759000</v>
      </c>
      <c r="K269" s="68">
        <f t="shared" si="2"/>
        <v>0.59949839329101029</v>
      </c>
      <c r="L269" s="66">
        <f t="shared" si="3"/>
        <v>0.44206915667659896</v>
      </c>
      <c r="M269" s="49">
        <v>1</v>
      </c>
    </row>
    <row r="270" spans="1:13" x14ac:dyDescent="0.2">
      <c r="A270" s="49" t="s">
        <v>204</v>
      </c>
      <c r="B270" s="49">
        <v>23</v>
      </c>
      <c r="C270" s="66">
        <v>0.09</v>
      </c>
      <c r="D270" s="49">
        <v>14.1</v>
      </c>
      <c r="E270" s="49">
        <v>351000</v>
      </c>
      <c r="F270" s="49">
        <v>13.28</v>
      </c>
      <c r="G270" s="49">
        <v>32500000</v>
      </c>
      <c r="H270" s="67">
        <v>8271000</v>
      </c>
      <c r="I270" s="67">
        <v>31276000</v>
      </c>
      <c r="J270" s="67">
        <v>14475000</v>
      </c>
      <c r="K270" s="68">
        <f t="shared" si="2"/>
        <v>0.57139896373056998</v>
      </c>
      <c r="L270" s="66">
        <f t="shared" si="3"/>
        <v>0.46281493797160761</v>
      </c>
      <c r="M270" s="49">
        <v>1</v>
      </c>
    </row>
    <row r="271" spans="1:13" x14ac:dyDescent="0.2">
      <c r="A271" s="49" t="s">
        <v>206</v>
      </c>
      <c r="B271" s="49">
        <v>19</v>
      </c>
      <c r="C271" s="66">
        <v>0.1</v>
      </c>
      <c r="D271" s="49">
        <v>3</v>
      </c>
      <c r="E271" s="49">
        <v>56000</v>
      </c>
      <c r="F271" s="49" t="s">
        <v>426</v>
      </c>
      <c r="G271" s="49">
        <v>13922000</v>
      </c>
      <c r="H271" s="67">
        <v>9913000</v>
      </c>
      <c r="I271" s="67">
        <v>38602000</v>
      </c>
      <c r="J271" s="67">
        <v>26010000</v>
      </c>
      <c r="K271" s="68">
        <f t="shared" si="2"/>
        <v>0.38112264513648597</v>
      </c>
      <c r="L271" s="66">
        <f t="shared" si="3"/>
        <v>0.67379928501113928</v>
      </c>
      <c r="M271" s="49">
        <v>1</v>
      </c>
    </row>
    <row r="272" spans="1:13" x14ac:dyDescent="0.2">
      <c r="A272" s="49" t="s">
        <v>206</v>
      </c>
      <c r="B272" s="49">
        <v>20</v>
      </c>
      <c r="C272" s="66">
        <v>9.7100000000000006E-2</v>
      </c>
      <c r="D272" s="49">
        <v>0.5</v>
      </c>
      <c r="E272" s="49">
        <v>0</v>
      </c>
      <c r="F272" s="49" t="s">
        <v>427</v>
      </c>
      <c r="G272" s="49">
        <v>15162000</v>
      </c>
      <c r="H272" s="67">
        <v>10063000</v>
      </c>
      <c r="I272" s="67">
        <v>42087000</v>
      </c>
      <c r="J272" s="67">
        <v>29067000</v>
      </c>
      <c r="K272" s="68">
        <f t="shared" si="2"/>
        <v>0.34620015825506589</v>
      </c>
      <c r="L272" s="66">
        <f t="shared" si="3"/>
        <v>0.69064081545370304</v>
      </c>
      <c r="M272" s="49">
        <v>0</v>
      </c>
    </row>
    <row r="273" spans="1:13" x14ac:dyDescent="0.2">
      <c r="A273" s="49" t="s">
        <v>206</v>
      </c>
      <c r="B273" s="49">
        <v>21</v>
      </c>
      <c r="C273" s="66">
        <v>8.4900000000000003E-2</v>
      </c>
      <c r="D273" s="49">
        <v>3.4</v>
      </c>
      <c r="E273" s="49">
        <v>0</v>
      </c>
      <c r="F273" s="70">
        <v>36674</v>
      </c>
      <c r="G273" s="49">
        <v>18757000</v>
      </c>
      <c r="H273" s="67">
        <v>12266000</v>
      </c>
      <c r="I273" s="67">
        <v>47937000</v>
      </c>
      <c r="J273" s="67">
        <v>31553000</v>
      </c>
      <c r="K273" s="68">
        <f t="shared" si="2"/>
        <v>0.38874275029315752</v>
      </c>
      <c r="L273" s="66">
        <f t="shared" si="3"/>
        <v>0.65821807789390241</v>
      </c>
      <c r="M273" s="49">
        <v>0</v>
      </c>
    </row>
    <row r="274" spans="1:13" x14ac:dyDescent="0.2">
      <c r="A274" s="49" t="s">
        <v>206</v>
      </c>
      <c r="B274" s="49">
        <v>22</v>
      </c>
      <c r="C274" s="66">
        <v>0.1043</v>
      </c>
      <c r="D274" s="49">
        <v>14</v>
      </c>
      <c r="E274" s="49">
        <v>0</v>
      </c>
      <c r="F274" s="49">
        <v>22.2</v>
      </c>
      <c r="G274" s="49">
        <v>22949000</v>
      </c>
      <c r="H274" s="67">
        <v>14425000</v>
      </c>
      <c r="I274" s="67">
        <v>58156000</v>
      </c>
      <c r="J274" s="67">
        <v>37969000</v>
      </c>
      <c r="K274" s="68">
        <f t="shared" si="2"/>
        <v>0.37991519397403145</v>
      </c>
      <c r="L274" s="66">
        <f t="shared" si="3"/>
        <v>0.65288190384483114</v>
      </c>
      <c r="M274" s="49">
        <v>0</v>
      </c>
    </row>
    <row r="275" spans="1:13" x14ac:dyDescent="0.2">
      <c r="A275" s="49" t="s">
        <v>206</v>
      </c>
      <c r="B275" s="49">
        <v>23</v>
      </c>
      <c r="C275" s="66">
        <v>9.6699999999999994E-2</v>
      </c>
      <c r="D275" s="49">
        <v>14.1</v>
      </c>
      <c r="E275" s="49">
        <v>115000</v>
      </c>
      <c r="F275" s="70">
        <v>36584</v>
      </c>
      <c r="G275" s="49">
        <v>25804000</v>
      </c>
      <c r="H275" s="67">
        <v>14438000</v>
      </c>
      <c r="I275" s="67">
        <v>60265000</v>
      </c>
      <c r="J275" s="67">
        <v>40843000</v>
      </c>
      <c r="K275" s="68">
        <f t="shared" si="2"/>
        <v>0.35349998775800012</v>
      </c>
      <c r="L275" s="66">
        <f t="shared" si="3"/>
        <v>0.67772338836804114</v>
      </c>
      <c r="M275" s="49">
        <v>1</v>
      </c>
    </row>
    <row r="276" spans="1:13" x14ac:dyDescent="0.2">
      <c r="A276" s="49" t="s">
        <v>211</v>
      </c>
      <c r="B276" s="49">
        <v>19</v>
      </c>
      <c r="C276" s="66">
        <v>0.08</v>
      </c>
      <c r="D276" s="49">
        <v>3</v>
      </c>
      <c r="E276" s="49">
        <v>0</v>
      </c>
      <c r="F276" s="49">
        <v>9.49</v>
      </c>
      <c r="G276" s="49">
        <v>6654300</v>
      </c>
      <c r="H276" s="67">
        <v>4337000</v>
      </c>
      <c r="I276" s="67">
        <v>7470600</v>
      </c>
      <c r="J276" s="67">
        <v>3775600</v>
      </c>
      <c r="K276" s="68">
        <f t="shared" si="2"/>
        <v>1.1486915986863016</v>
      </c>
      <c r="L276" s="66">
        <f t="shared" si="3"/>
        <v>0.50539447969373275</v>
      </c>
      <c r="M276" s="49">
        <v>0</v>
      </c>
    </row>
    <row r="277" spans="1:13" x14ac:dyDescent="0.2">
      <c r="A277" s="49" t="s">
        <v>211</v>
      </c>
      <c r="B277" s="49">
        <v>20</v>
      </c>
      <c r="C277" s="66">
        <v>8.1000000000000003E-2</v>
      </c>
      <c r="D277" s="49">
        <v>0.5</v>
      </c>
      <c r="E277" s="49">
        <v>0</v>
      </c>
      <c r="F277" s="49">
        <v>10.42</v>
      </c>
      <c r="G277" s="49">
        <v>6704900</v>
      </c>
      <c r="H277" s="67">
        <v>4337000</v>
      </c>
      <c r="I277" s="67">
        <v>8016900</v>
      </c>
      <c r="J277" s="67">
        <v>4154900</v>
      </c>
      <c r="K277" s="68">
        <f t="shared" si="2"/>
        <v>1.0438277696214109</v>
      </c>
      <c r="L277" s="66">
        <f t="shared" si="3"/>
        <v>0.5182676595691601</v>
      </c>
      <c r="M277" s="49">
        <v>0</v>
      </c>
    </row>
    <row r="278" spans="1:13" x14ac:dyDescent="0.2">
      <c r="A278" s="49" t="s">
        <v>211</v>
      </c>
      <c r="B278" s="49">
        <v>21</v>
      </c>
      <c r="C278" s="66">
        <v>8.1000000000000003E-2</v>
      </c>
      <c r="D278" s="49">
        <v>3.4</v>
      </c>
      <c r="E278" s="49">
        <v>0</v>
      </c>
      <c r="F278" s="49">
        <v>12.11</v>
      </c>
      <c r="G278" s="49">
        <v>7747100</v>
      </c>
      <c r="H278" s="67">
        <v>4314800</v>
      </c>
      <c r="I278" s="67">
        <v>8437200</v>
      </c>
      <c r="J278" s="67">
        <v>4642100</v>
      </c>
      <c r="K278" s="68">
        <f t="shared" si="2"/>
        <v>0.92949311733913531</v>
      </c>
      <c r="L278" s="66">
        <f t="shared" si="3"/>
        <v>0.55019437728156262</v>
      </c>
      <c r="M278" s="49">
        <v>0</v>
      </c>
    </row>
    <row r="279" spans="1:13" x14ac:dyDescent="0.2">
      <c r="A279" s="49" t="s">
        <v>211</v>
      </c>
      <c r="B279" s="49">
        <v>22</v>
      </c>
      <c r="C279" s="66">
        <v>8.7999999999999995E-2</v>
      </c>
      <c r="D279" s="49">
        <v>14</v>
      </c>
      <c r="E279" s="49">
        <v>0</v>
      </c>
      <c r="F279" s="49">
        <v>11.43</v>
      </c>
      <c r="G279" s="49">
        <v>9584400</v>
      </c>
      <c r="H279" s="67">
        <v>4835000</v>
      </c>
      <c r="I279" s="67">
        <v>9785800</v>
      </c>
      <c r="J279" s="67">
        <v>5289600</v>
      </c>
      <c r="K279" s="68">
        <f t="shared" si="2"/>
        <v>0.91405777374470665</v>
      </c>
      <c r="L279" s="66">
        <f t="shared" si="3"/>
        <v>0.54053833105111493</v>
      </c>
      <c r="M279" s="49">
        <v>0</v>
      </c>
    </row>
    <row r="280" spans="1:13" x14ac:dyDescent="0.2">
      <c r="A280" s="49" t="s">
        <v>211</v>
      </c>
      <c r="B280" s="49">
        <v>23</v>
      </c>
      <c r="C280" s="66">
        <v>9.2999999999999999E-2</v>
      </c>
      <c r="D280" s="49">
        <v>14.1</v>
      </c>
      <c r="E280" s="49">
        <v>0</v>
      </c>
      <c r="F280" s="49">
        <v>12.07</v>
      </c>
      <c r="G280" s="49">
        <v>9020200</v>
      </c>
      <c r="H280" s="67">
        <v>5010000</v>
      </c>
      <c r="I280" s="67">
        <v>9677200</v>
      </c>
      <c r="J280" s="67">
        <v>5253400</v>
      </c>
      <c r="K280" s="68">
        <f t="shared" si="2"/>
        <v>0.95366810065862107</v>
      </c>
      <c r="L280" s="66">
        <f t="shared" si="3"/>
        <v>0.54286363824246686</v>
      </c>
      <c r="M280" s="49">
        <v>0</v>
      </c>
    </row>
    <row r="281" spans="1:13" x14ac:dyDescent="0.2">
      <c r="A281" s="49" t="s">
        <v>213</v>
      </c>
      <c r="B281" s="49">
        <v>19</v>
      </c>
      <c r="C281" s="66">
        <v>0.08</v>
      </c>
      <c r="D281" s="49">
        <v>3</v>
      </c>
      <c r="E281" s="49">
        <v>0</v>
      </c>
      <c r="F281" s="49">
        <v>13.14</v>
      </c>
      <c r="G281" s="49">
        <v>15711000</v>
      </c>
      <c r="H281" s="67">
        <v>186000</v>
      </c>
      <c r="I281" s="67">
        <v>22972000</v>
      </c>
      <c r="J281" s="67">
        <v>7126000</v>
      </c>
      <c r="K281" s="68">
        <f t="shared" si="2"/>
        <v>2.6101599775470108E-2</v>
      </c>
      <c r="L281" s="66">
        <f t="shared" si="3"/>
        <v>0.31020372627546577</v>
      </c>
      <c r="M281" s="49">
        <v>0</v>
      </c>
    </row>
    <row r="282" spans="1:13" x14ac:dyDescent="0.2">
      <c r="A282" s="49" t="s">
        <v>213</v>
      </c>
      <c r="B282" s="49">
        <v>20</v>
      </c>
      <c r="C282" s="66">
        <v>0.08</v>
      </c>
      <c r="D282" s="49">
        <v>0.5</v>
      </c>
      <c r="E282" s="49">
        <v>0</v>
      </c>
      <c r="F282" s="49">
        <v>12.42</v>
      </c>
      <c r="G282" s="49">
        <v>16312000</v>
      </c>
      <c r="H282" s="67">
        <v>168000</v>
      </c>
      <c r="I282" s="67">
        <v>23088000</v>
      </c>
      <c r="J282" s="67">
        <v>7598000</v>
      </c>
      <c r="K282" s="68">
        <f t="shared" si="2"/>
        <v>2.2111081863648328E-2</v>
      </c>
      <c r="L282" s="66">
        <f t="shared" si="3"/>
        <v>0.32908870408870411</v>
      </c>
      <c r="M282" s="49">
        <v>0</v>
      </c>
    </row>
    <row r="283" spans="1:13" x14ac:dyDescent="0.2">
      <c r="A283" s="49" t="s">
        <v>213</v>
      </c>
      <c r="B283" s="49">
        <v>21</v>
      </c>
      <c r="C283" s="66">
        <v>0.08</v>
      </c>
      <c r="D283" s="49">
        <v>3.4</v>
      </c>
      <c r="E283" s="49">
        <v>0</v>
      </c>
      <c r="F283" s="49">
        <v>14.26</v>
      </c>
      <c r="G283" s="49">
        <v>15694000</v>
      </c>
      <c r="H283" s="67">
        <v>180000</v>
      </c>
      <c r="I283" s="67">
        <v>24391000</v>
      </c>
      <c r="J283" s="67">
        <v>8385000</v>
      </c>
      <c r="K283" s="68">
        <f t="shared" si="2"/>
        <v>2.1466905187835419E-2</v>
      </c>
      <c r="L283" s="66">
        <f t="shared" si="3"/>
        <v>0.34377434299536713</v>
      </c>
      <c r="M283" s="49">
        <v>0</v>
      </c>
    </row>
    <row r="284" spans="1:13" x14ac:dyDescent="0.2">
      <c r="A284" s="49" t="s">
        <v>213</v>
      </c>
      <c r="B284" s="49">
        <v>22</v>
      </c>
      <c r="C284" s="66">
        <v>0.08</v>
      </c>
      <c r="D284" s="49">
        <v>14</v>
      </c>
      <c r="E284" s="49">
        <v>0</v>
      </c>
      <c r="F284" s="49">
        <v>13.35</v>
      </c>
      <c r="G284" s="49">
        <v>15747000</v>
      </c>
      <c r="H284" s="67">
        <v>219000</v>
      </c>
      <c r="I284" s="67">
        <v>24383000</v>
      </c>
      <c r="J284" s="67">
        <v>8725000</v>
      </c>
      <c r="K284" s="68">
        <f t="shared" si="2"/>
        <v>2.510028653295129E-2</v>
      </c>
      <c r="L284" s="66">
        <f t="shared" si="3"/>
        <v>0.35783127588893904</v>
      </c>
      <c r="M284" s="49">
        <v>0</v>
      </c>
    </row>
    <row r="285" spans="1:13" x14ac:dyDescent="0.2">
      <c r="A285" s="49" t="s">
        <v>213</v>
      </c>
      <c r="B285" s="49">
        <v>23</v>
      </c>
      <c r="C285" s="66">
        <v>0.08</v>
      </c>
      <c r="D285" s="49">
        <v>14.1</v>
      </c>
      <c r="E285" s="49">
        <v>0</v>
      </c>
      <c r="F285" s="49">
        <v>10.06</v>
      </c>
      <c r="G285" s="49">
        <v>15969000</v>
      </c>
      <c r="H285" s="67">
        <v>217000</v>
      </c>
      <c r="I285" s="67">
        <v>30073000</v>
      </c>
      <c r="J285" s="67">
        <v>7972000</v>
      </c>
      <c r="K285" s="68">
        <f t="shared" si="2"/>
        <v>2.7220270948319115E-2</v>
      </c>
      <c r="L285" s="66">
        <f t="shared" si="3"/>
        <v>0.2650882851727463</v>
      </c>
      <c r="M285" s="49">
        <v>0</v>
      </c>
    </row>
    <row r="286" spans="1:13" x14ac:dyDescent="0.2">
      <c r="A286" s="49" t="s">
        <v>216</v>
      </c>
      <c r="B286" s="49">
        <v>19</v>
      </c>
      <c r="C286" s="66">
        <v>8.7999999999999995E-2</v>
      </c>
      <c r="D286" s="49">
        <v>3</v>
      </c>
      <c r="E286" s="49">
        <v>0</v>
      </c>
      <c r="F286" s="49">
        <v>10.25</v>
      </c>
      <c r="G286" s="49">
        <v>3336100</v>
      </c>
      <c r="H286" s="67">
        <v>957388</v>
      </c>
      <c r="I286" s="67">
        <v>2226194</v>
      </c>
      <c r="J286" s="67">
        <v>1225066</v>
      </c>
      <c r="K286" s="68">
        <f t="shared" si="2"/>
        <v>0.78149911923112714</v>
      </c>
      <c r="L286" s="66">
        <f t="shared" si="3"/>
        <v>0.55029615568095147</v>
      </c>
      <c r="M286" s="49">
        <v>0</v>
      </c>
    </row>
    <row r="287" spans="1:13" x14ac:dyDescent="0.2">
      <c r="A287" s="49" t="s">
        <v>216</v>
      </c>
      <c r="B287" s="49">
        <v>20</v>
      </c>
      <c r="C287" s="66">
        <v>9.1999999999999998E-2</v>
      </c>
      <c r="D287" s="49">
        <v>0.5</v>
      </c>
      <c r="E287" s="49">
        <v>0</v>
      </c>
      <c r="F287" s="49">
        <v>10.01</v>
      </c>
      <c r="G287" s="49">
        <v>3380682</v>
      </c>
      <c r="H287" s="67">
        <v>1200646</v>
      </c>
      <c r="I287" s="67">
        <v>3060557</v>
      </c>
      <c r="J287" s="67">
        <v>1530803</v>
      </c>
      <c r="K287" s="68">
        <f t="shared" si="2"/>
        <v>0.78432430560953958</v>
      </c>
      <c r="L287" s="66">
        <f t="shared" si="3"/>
        <v>0.50017137403420353</v>
      </c>
      <c r="M287" s="49">
        <v>0</v>
      </c>
    </row>
    <row r="288" spans="1:13" x14ac:dyDescent="0.2">
      <c r="A288" s="49" t="s">
        <v>216</v>
      </c>
      <c r="B288" s="49">
        <v>21</v>
      </c>
      <c r="C288" s="66">
        <v>9.7000000000000003E-2</v>
      </c>
      <c r="D288" s="49">
        <v>3.4</v>
      </c>
      <c r="E288" s="49">
        <v>0</v>
      </c>
      <c r="F288" s="49">
        <v>8.3800000000000008</v>
      </c>
      <c r="G288" s="49">
        <v>4812474</v>
      </c>
      <c r="H288" s="67">
        <v>3120541</v>
      </c>
      <c r="I288" s="67">
        <v>6335396</v>
      </c>
      <c r="J288" s="67">
        <v>3884639</v>
      </c>
      <c r="K288" s="68">
        <f t="shared" si="2"/>
        <v>0.8033027007142749</v>
      </c>
      <c r="L288" s="66">
        <f t="shared" si="3"/>
        <v>0.61316435468280117</v>
      </c>
      <c r="M288" s="49">
        <v>0</v>
      </c>
    </row>
    <row r="289" spans="1:13" x14ac:dyDescent="0.2">
      <c r="A289" s="49" t="s">
        <v>216</v>
      </c>
      <c r="B289" s="49">
        <v>22</v>
      </c>
      <c r="C289" s="66">
        <v>0.114</v>
      </c>
      <c r="D289" s="49">
        <v>14</v>
      </c>
      <c r="E289" s="49">
        <v>0</v>
      </c>
      <c r="F289" s="49">
        <v>8.33</v>
      </c>
      <c r="G289" s="49">
        <v>6833746</v>
      </c>
      <c r="H289" s="67">
        <v>3754554</v>
      </c>
      <c r="I289" s="67">
        <v>7605553</v>
      </c>
      <c r="J289" s="67">
        <v>4186450</v>
      </c>
      <c r="K289" s="68">
        <f t="shared" si="2"/>
        <v>0.89683478842456021</v>
      </c>
      <c r="L289" s="66">
        <f t="shared" si="3"/>
        <v>0.55044649613249685</v>
      </c>
      <c r="M289" s="49">
        <v>0</v>
      </c>
    </row>
    <row r="290" spans="1:13" x14ac:dyDescent="0.2">
      <c r="A290" s="49" t="s">
        <v>216</v>
      </c>
      <c r="B290" s="49">
        <v>23</v>
      </c>
      <c r="C290" s="66">
        <v>0.128</v>
      </c>
      <c r="D290" s="49">
        <v>14.1</v>
      </c>
      <c r="E290" s="49">
        <v>0</v>
      </c>
      <c r="F290" s="49">
        <v>5.44</v>
      </c>
      <c r="G290" s="49">
        <v>7113820</v>
      </c>
      <c r="H290" s="67">
        <v>3738439</v>
      </c>
      <c r="I290" s="67">
        <v>7026171</v>
      </c>
      <c r="J290" s="67">
        <v>4150954</v>
      </c>
      <c r="K290" s="68">
        <f t="shared" si="2"/>
        <v>0.90062164023017355</v>
      </c>
      <c r="L290" s="66">
        <f t="shared" si="3"/>
        <v>0.59078465354743004</v>
      </c>
      <c r="M290" s="49">
        <v>0</v>
      </c>
    </row>
    <row r="291" spans="1:13" x14ac:dyDescent="0.2">
      <c r="A291" s="49" t="s">
        <v>218</v>
      </c>
      <c r="B291" s="49">
        <v>19</v>
      </c>
      <c r="C291" s="66">
        <v>0.08</v>
      </c>
      <c r="D291" s="49">
        <v>3</v>
      </c>
      <c r="E291" s="49">
        <v>0</v>
      </c>
      <c r="F291" s="49">
        <v>109</v>
      </c>
      <c r="G291" s="49">
        <v>41988000</v>
      </c>
      <c r="H291" s="67">
        <v>83000</v>
      </c>
      <c r="I291" s="67">
        <f>1.753*(10^8)</f>
        <v>175300000</v>
      </c>
      <c r="J291" s="67">
        <v>81196000</v>
      </c>
      <c r="K291" s="68">
        <f t="shared" si="2"/>
        <v>1.0222178432435095E-3</v>
      </c>
      <c r="L291" s="66">
        <f t="shared" si="3"/>
        <v>0.46318311466058187</v>
      </c>
      <c r="M291" s="49">
        <v>0</v>
      </c>
    </row>
    <row r="292" spans="1:13" x14ac:dyDescent="0.2">
      <c r="A292" s="49" t="s">
        <v>218</v>
      </c>
      <c r="B292" s="49">
        <v>20</v>
      </c>
      <c r="C292" s="66">
        <v>0.08</v>
      </c>
      <c r="D292" s="49">
        <v>0.5</v>
      </c>
      <c r="E292" s="49">
        <v>0</v>
      </c>
      <c r="F292" s="49" t="s">
        <v>428</v>
      </c>
      <c r="G292" s="49">
        <v>21574000</v>
      </c>
      <c r="H292" s="67">
        <v>438000</v>
      </c>
      <c r="I292" s="67">
        <f>1.8*(10^8)</f>
        <v>180000000</v>
      </c>
      <c r="J292" s="67">
        <v>85252000</v>
      </c>
      <c r="K292" s="68">
        <f t="shared" si="2"/>
        <v>5.1377093792521001E-3</v>
      </c>
      <c r="L292" s="66">
        <f t="shared" si="3"/>
        <v>0.47362222222222222</v>
      </c>
      <c r="M292" s="49">
        <v>0</v>
      </c>
    </row>
    <row r="293" spans="1:13" x14ac:dyDescent="0.2">
      <c r="A293" s="49" t="s">
        <v>218</v>
      </c>
      <c r="B293" s="49">
        <v>21</v>
      </c>
      <c r="C293" s="66">
        <v>0.08</v>
      </c>
      <c r="D293" s="49">
        <v>3.4</v>
      </c>
      <c r="E293" s="49">
        <v>0</v>
      </c>
      <c r="F293" s="49">
        <v>70.3</v>
      </c>
      <c r="G293" s="49">
        <v>37175000</v>
      </c>
      <c r="H293" s="67">
        <v>441000</v>
      </c>
      <c r="I293" s="67">
        <f>2.025*(10^8)</f>
        <v>202500000</v>
      </c>
      <c r="J293" s="67">
        <v>99580000</v>
      </c>
      <c r="K293" s="68">
        <f t="shared" si="2"/>
        <v>4.4286001205061255E-3</v>
      </c>
      <c r="L293" s="66">
        <f t="shared" si="3"/>
        <v>0.49175308641975307</v>
      </c>
      <c r="M293" s="49">
        <v>0</v>
      </c>
    </row>
    <row r="294" spans="1:13" x14ac:dyDescent="0.2">
      <c r="A294" s="49" t="s">
        <v>218</v>
      </c>
      <c r="B294" s="49">
        <v>22</v>
      </c>
      <c r="C294" s="66">
        <v>0.08</v>
      </c>
      <c r="D294" s="49">
        <v>14</v>
      </c>
      <c r="E294" s="49">
        <v>0</v>
      </c>
      <c r="F294" s="49" t="s">
        <v>429</v>
      </c>
      <c r="G294" s="49">
        <v>32961000</v>
      </c>
      <c r="H294" s="67">
        <v>441000</v>
      </c>
      <c r="I294" s="67">
        <f>2.118*(10^8)</f>
        <v>211800000</v>
      </c>
      <c r="J294" s="67">
        <v>99819000</v>
      </c>
      <c r="K294" s="68">
        <f t="shared" si="2"/>
        <v>4.417996573798575E-3</v>
      </c>
      <c r="L294" s="66">
        <f t="shared" si="3"/>
        <v>0.47128895184135977</v>
      </c>
      <c r="M294" s="49">
        <v>0</v>
      </c>
    </row>
    <row r="295" spans="1:13" x14ac:dyDescent="0.2">
      <c r="A295" s="49" t="s">
        <v>218</v>
      </c>
      <c r="B295" s="49">
        <v>23</v>
      </c>
      <c r="C295" s="66">
        <v>0.08</v>
      </c>
      <c r="D295" s="49">
        <v>14.1</v>
      </c>
      <c r="E295" s="49">
        <v>0</v>
      </c>
      <c r="F295" s="49" t="s">
        <v>430</v>
      </c>
      <c r="G295" s="49">
        <v>37244000</v>
      </c>
      <c r="H295" s="67">
        <v>441000</v>
      </c>
      <c r="I295" s="67">
        <f>2.161*(10^8)</f>
        <v>216100000</v>
      </c>
      <c r="J295" s="67">
        <f>1.076*(10^8)</f>
        <v>107600000</v>
      </c>
      <c r="K295" s="68">
        <f t="shared" si="2"/>
        <v>4.0985130111524165E-3</v>
      </c>
      <c r="L295" s="66">
        <f t="shared" si="3"/>
        <v>0.49791763072651551</v>
      </c>
      <c r="M295" s="49">
        <v>0</v>
      </c>
    </row>
    <row r="296" spans="1:13" x14ac:dyDescent="0.2">
      <c r="A296" s="49" t="s">
        <v>220</v>
      </c>
      <c r="B296" s="49">
        <v>19</v>
      </c>
      <c r="C296" s="66">
        <v>9.1999999999999998E-2</v>
      </c>
      <c r="D296" s="49">
        <v>3</v>
      </c>
      <c r="E296" s="49">
        <v>0</v>
      </c>
      <c r="F296" s="49">
        <v>14.9</v>
      </c>
      <c r="G296" s="49">
        <v>13892000</v>
      </c>
      <c r="H296" s="67">
        <v>7318000</v>
      </c>
      <c r="I296" s="67">
        <v>17578000</v>
      </c>
      <c r="J296" s="67">
        <v>7915000</v>
      </c>
      <c r="K296" s="68">
        <f t="shared" si="2"/>
        <v>0.9245735944409349</v>
      </c>
      <c r="L296" s="66">
        <f t="shared" si="3"/>
        <v>0.45027875753783136</v>
      </c>
      <c r="M296" s="49">
        <v>0</v>
      </c>
    </row>
    <row r="297" spans="1:13" x14ac:dyDescent="0.2">
      <c r="A297" s="49" t="s">
        <v>220</v>
      </c>
      <c r="B297" s="49">
        <v>20</v>
      </c>
      <c r="C297" s="66">
        <v>9.8000000000000004E-2</v>
      </c>
      <c r="D297" s="49">
        <v>0.5</v>
      </c>
      <c r="E297" s="49">
        <v>0</v>
      </c>
      <c r="F297" s="49">
        <v>16.43</v>
      </c>
      <c r="G297" s="49">
        <v>13833000</v>
      </c>
      <c r="H297" s="67">
        <v>7564000</v>
      </c>
      <c r="I297" s="67">
        <v>18262000</v>
      </c>
      <c r="J297" s="67">
        <v>8614000</v>
      </c>
      <c r="K297" s="68">
        <f t="shared" si="2"/>
        <v>0.87810540979800322</v>
      </c>
      <c r="L297" s="66">
        <f t="shared" si="3"/>
        <v>0.47168984777132844</v>
      </c>
      <c r="M297" s="49">
        <v>0</v>
      </c>
    </row>
    <row r="298" spans="1:13" x14ac:dyDescent="0.2">
      <c r="A298" s="49" t="s">
        <v>220</v>
      </c>
      <c r="B298" s="49">
        <v>21</v>
      </c>
      <c r="C298" s="66">
        <v>9.5000000000000001E-2</v>
      </c>
      <c r="D298" s="49">
        <v>3.4</v>
      </c>
      <c r="E298" s="49">
        <v>0</v>
      </c>
      <c r="F298" s="49">
        <v>18.39</v>
      </c>
      <c r="G298" s="49">
        <v>17558000</v>
      </c>
      <c r="H298" s="67">
        <v>9562000</v>
      </c>
      <c r="I298" s="67">
        <v>24876000</v>
      </c>
      <c r="J298" s="67">
        <v>10645000</v>
      </c>
      <c r="K298" s="68">
        <f t="shared" si="2"/>
        <v>0.89826209488022546</v>
      </c>
      <c r="L298" s="66">
        <f t="shared" si="3"/>
        <v>0.42792249557806722</v>
      </c>
      <c r="M298" s="49">
        <v>0</v>
      </c>
    </row>
    <row r="299" spans="1:13" x14ac:dyDescent="0.2">
      <c r="A299" s="49" t="s">
        <v>220</v>
      </c>
      <c r="B299" s="49">
        <v>22</v>
      </c>
      <c r="C299" s="66">
        <v>0.122</v>
      </c>
      <c r="D299" s="49">
        <v>14</v>
      </c>
      <c r="E299" s="49">
        <v>0</v>
      </c>
      <c r="F299" s="49">
        <v>18.440000000000001</v>
      </c>
      <c r="G299" s="49">
        <v>21666000</v>
      </c>
      <c r="H299" s="67">
        <v>11247000</v>
      </c>
      <c r="I299" s="67">
        <v>29771000</v>
      </c>
      <c r="J299" s="67">
        <v>13238000</v>
      </c>
      <c r="K299" s="68">
        <f t="shared" si="2"/>
        <v>0.84959963740746336</v>
      </c>
      <c r="L299" s="66">
        <f t="shared" si="3"/>
        <v>0.44466091162540727</v>
      </c>
      <c r="M299" s="49">
        <v>0</v>
      </c>
    </row>
    <row r="300" spans="1:13" x14ac:dyDescent="0.2">
      <c r="A300" s="49" t="s">
        <v>220</v>
      </c>
      <c r="B300" s="49">
        <v>23</v>
      </c>
      <c r="C300" s="66">
        <v>0.125</v>
      </c>
      <c r="D300" s="49">
        <v>14.1</v>
      </c>
      <c r="E300" s="49">
        <v>0</v>
      </c>
      <c r="F300" s="49">
        <v>20.07</v>
      </c>
      <c r="G300" s="49">
        <v>24630000</v>
      </c>
      <c r="H300" s="67">
        <v>13255000</v>
      </c>
      <c r="I300" s="67">
        <v>34291000</v>
      </c>
      <c r="J300" s="67">
        <v>15212000</v>
      </c>
      <c r="K300" s="68">
        <f t="shared" si="2"/>
        <v>0.87135156455429918</v>
      </c>
      <c r="L300" s="66">
        <f t="shared" si="3"/>
        <v>0.44361494269633434</v>
      </c>
      <c r="M300" s="49">
        <v>0</v>
      </c>
    </row>
    <row r="301" spans="1:13" x14ac:dyDescent="0.2">
      <c r="A301" s="49" t="s">
        <v>222</v>
      </c>
      <c r="B301" s="49">
        <v>19</v>
      </c>
      <c r="C301" s="66">
        <v>8.5000000000000006E-2</v>
      </c>
      <c r="D301" s="49">
        <v>3</v>
      </c>
      <c r="E301" s="49">
        <v>0</v>
      </c>
      <c r="F301" s="49">
        <v>18.149999999999999</v>
      </c>
      <c r="G301" s="49">
        <v>308723</v>
      </c>
      <c r="H301" s="67">
        <v>69763</v>
      </c>
      <c r="I301" s="67">
        <v>313567</v>
      </c>
      <c r="J301" s="67">
        <v>68627</v>
      </c>
      <c r="K301" s="68">
        <f t="shared" si="2"/>
        <v>1.0165532516356537</v>
      </c>
      <c r="L301" s="66">
        <f t="shared" si="3"/>
        <v>0.21885912739542107</v>
      </c>
      <c r="M301" s="49">
        <v>0</v>
      </c>
    </row>
    <row r="302" spans="1:13" x14ac:dyDescent="0.2">
      <c r="A302" s="49" t="s">
        <v>222</v>
      </c>
      <c r="B302" s="49">
        <v>20</v>
      </c>
      <c r="C302" s="66">
        <v>8.5000000000000006E-2</v>
      </c>
      <c r="D302" s="49">
        <v>0.5</v>
      </c>
      <c r="E302" s="49">
        <v>0</v>
      </c>
      <c r="F302" s="49" t="s">
        <v>431</v>
      </c>
      <c r="G302" s="49">
        <v>358788</v>
      </c>
      <c r="H302" s="67">
        <v>69763</v>
      </c>
      <c r="I302" s="67">
        <v>364351</v>
      </c>
      <c r="J302" s="67">
        <v>110840</v>
      </c>
      <c r="K302" s="68">
        <f t="shared" si="2"/>
        <v>0.62940274269216889</v>
      </c>
      <c r="L302" s="66">
        <f t="shared" si="3"/>
        <v>0.30421214707795508</v>
      </c>
      <c r="M302" s="49">
        <v>0</v>
      </c>
    </row>
    <row r="303" spans="1:13" x14ac:dyDescent="0.2">
      <c r="A303" s="49" t="s">
        <v>222</v>
      </c>
      <c r="B303" s="49">
        <v>21</v>
      </c>
      <c r="C303" s="66">
        <v>8.5000000000000006E-2</v>
      </c>
      <c r="D303" s="49">
        <v>3.4</v>
      </c>
      <c r="E303" s="49">
        <v>0</v>
      </c>
      <c r="F303" s="49">
        <v>19.28</v>
      </c>
      <c r="G303" s="49">
        <v>425064</v>
      </c>
      <c r="H303" s="67">
        <v>222076</v>
      </c>
      <c r="I303" s="67">
        <v>665087</v>
      </c>
      <c r="J303" s="67">
        <v>135066</v>
      </c>
      <c r="K303" s="68">
        <f t="shared" si="2"/>
        <v>1.6442035745487391</v>
      </c>
      <c r="L303" s="66">
        <f t="shared" si="3"/>
        <v>0.20308019853041784</v>
      </c>
      <c r="M303" s="49">
        <v>0</v>
      </c>
    </row>
    <row r="304" spans="1:13" x14ac:dyDescent="0.2">
      <c r="A304" s="49" t="s">
        <v>222</v>
      </c>
      <c r="B304" s="49">
        <v>22</v>
      </c>
      <c r="C304" s="66">
        <v>0.106</v>
      </c>
      <c r="D304" s="49">
        <v>14</v>
      </c>
      <c r="E304" s="49">
        <v>0</v>
      </c>
      <c r="F304" s="49">
        <v>19.11</v>
      </c>
      <c r="G304" s="49">
        <v>518924</v>
      </c>
      <c r="H304" s="67">
        <v>235240</v>
      </c>
      <c r="I304" s="67">
        <v>663931</v>
      </c>
      <c r="J304" s="67">
        <v>205321</v>
      </c>
      <c r="K304" s="68">
        <f t="shared" si="2"/>
        <v>1.1457181681367226</v>
      </c>
      <c r="L304" s="66">
        <f t="shared" si="3"/>
        <v>0.30925050946559207</v>
      </c>
      <c r="M304" s="49">
        <v>0</v>
      </c>
    </row>
    <row r="305" spans="1:13" x14ac:dyDescent="0.2">
      <c r="A305" s="49" t="s">
        <v>222</v>
      </c>
      <c r="B305" s="49">
        <v>23</v>
      </c>
      <c r="C305" s="66">
        <v>0.11600000000000001</v>
      </c>
      <c r="D305" s="49">
        <v>14.1</v>
      </c>
      <c r="E305" s="49">
        <v>0</v>
      </c>
      <c r="F305" s="49">
        <v>20.010000000000002</v>
      </c>
      <c r="G305" s="49">
        <v>608913</v>
      </c>
      <c r="H305" s="67">
        <v>242391</v>
      </c>
      <c r="I305" s="67">
        <v>696933</v>
      </c>
      <c r="J305" s="67">
        <v>264680</v>
      </c>
      <c r="K305" s="68">
        <f t="shared" si="2"/>
        <v>0.91578887713465318</v>
      </c>
      <c r="L305" s="66">
        <f t="shared" si="3"/>
        <v>0.37977825702040224</v>
      </c>
      <c r="M305" s="49">
        <v>0</v>
      </c>
    </row>
    <row r="306" spans="1:13" x14ac:dyDescent="0.2">
      <c r="A306" s="49" t="s">
        <v>224</v>
      </c>
      <c r="B306" s="49">
        <v>19</v>
      </c>
      <c r="C306" s="66">
        <v>6.0999999999999999E-2</v>
      </c>
      <c r="D306" s="49">
        <v>3</v>
      </c>
      <c r="E306" s="49">
        <v>0</v>
      </c>
      <c r="F306" s="49">
        <v>11.8</v>
      </c>
      <c r="G306" s="49">
        <v>21044000</v>
      </c>
      <c r="H306" s="67">
        <v>7094000</v>
      </c>
      <c r="I306" s="67">
        <v>26563000</v>
      </c>
      <c r="J306" s="67">
        <v>9591000</v>
      </c>
      <c r="K306" s="68">
        <f t="shared" si="2"/>
        <v>0.73965175685538531</v>
      </c>
      <c r="L306" s="66">
        <f t="shared" si="3"/>
        <v>0.36106614463727743</v>
      </c>
      <c r="M306" s="49">
        <v>0</v>
      </c>
    </row>
    <row r="307" spans="1:13" x14ac:dyDescent="0.2">
      <c r="A307" s="49" t="s">
        <v>224</v>
      </c>
      <c r="B307" s="49">
        <v>20</v>
      </c>
      <c r="C307" s="66">
        <v>7.1999999999999995E-2</v>
      </c>
      <c r="D307" s="49">
        <v>0.5</v>
      </c>
      <c r="E307" s="49">
        <v>46000</v>
      </c>
      <c r="F307" s="49">
        <v>7.1</v>
      </c>
      <c r="G307" s="49">
        <v>18813000</v>
      </c>
      <c r="H307" s="67">
        <v>6884000</v>
      </c>
      <c r="I307" s="67">
        <v>24896000</v>
      </c>
      <c r="J307" s="67">
        <v>8772000</v>
      </c>
      <c r="K307" s="68">
        <f t="shared" si="2"/>
        <v>0.78476972184222527</v>
      </c>
      <c r="L307" s="66">
        <f t="shared" si="3"/>
        <v>0.35234575835475579</v>
      </c>
      <c r="M307" s="49">
        <v>1</v>
      </c>
    </row>
    <row r="308" spans="1:13" x14ac:dyDescent="0.2">
      <c r="A308" s="49" t="s">
        <v>224</v>
      </c>
      <c r="B308" s="49">
        <v>21</v>
      </c>
      <c r="C308" s="66">
        <v>8.3000000000000004E-2</v>
      </c>
      <c r="D308" s="49">
        <v>3.4</v>
      </c>
      <c r="E308" s="49">
        <v>52000</v>
      </c>
      <c r="F308" s="49">
        <v>9.18</v>
      </c>
      <c r="G308" s="49">
        <v>19723000</v>
      </c>
      <c r="H308" s="67">
        <v>7185000</v>
      </c>
      <c r="I308" s="67">
        <v>27228000</v>
      </c>
      <c r="J308" s="67">
        <v>10063000</v>
      </c>
      <c r="K308" s="68">
        <f t="shared" si="2"/>
        <v>0.71400178873099474</v>
      </c>
      <c r="L308" s="66">
        <f t="shared" si="3"/>
        <v>0.3695827824298516</v>
      </c>
      <c r="M308" s="49">
        <v>1</v>
      </c>
    </row>
    <row r="309" spans="1:13" x14ac:dyDescent="0.2">
      <c r="A309" s="49" t="s">
        <v>224</v>
      </c>
      <c r="B309" s="49">
        <v>22</v>
      </c>
      <c r="C309" s="66">
        <v>7.1999999999999995E-2</v>
      </c>
      <c r="D309" s="49">
        <v>14</v>
      </c>
      <c r="E309" s="49">
        <v>0</v>
      </c>
      <c r="F309" s="49">
        <v>10.54</v>
      </c>
      <c r="G309" s="49">
        <v>25315000</v>
      </c>
      <c r="H309" s="67">
        <v>8075000</v>
      </c>
      <c r="I309" s="67">
        <v>31780000</v>
      </c>
      <c r="J309" s="67">
        <v>12465000</v>
      </c>
      <c r="K309" s="68">
        <f t="shared" si="2"/>
        <v>0.64781387886081032</v>
      </c>
      <c r="L309" s="66">
        <f t="shared" si="3"/>
        <v>0.39222781623662684</v>
      </c>
      <c r="M309" s="49">
        <v>0</v>
      </c>
    </row>
    <row r="310" spans="1:13" x14ac:dyDescent="0.2">
      <c r="A310" s="49" t="s">
        <v>224</v>
      </c>
      <c r="B310" s="49">
        <v>23</v>
      </c>
      <c r="C310" s="66">
        <v>7.5999999999999998E-2</v>
      </c>
      <c r="D310" s="49">
        <v>14.1</v>
      </c>
      <c r="E310" s="49">
        <v>54000</v>
      </c>
      <c r="F310" s="49">
        <v>10.119999999999999</v>
      </c>
      <c r="G310" s="49">
        <v>28707000</v>
      </c>
      <c r="H310" s="67">
        <v>9033000</v>
      </c>
      <c r="I310" s="67">
        <v>36180000</v>
      </c>
      <c r="J310" s="67">
        <v>12678000</v>
      </c>
      <c r="K310" s="68">
        <f t="shared" si="2"/>
        <v>0.71249408424041649</v>
      </c>
      <c r="L310" s="66">
        <f t="shared" si="3"/>
        <v>0.35041459369817579</v>
      </c>
      <c r="M310" s="49">
        <v>1</v>
      </c>
    </row>
    <row r="311" spans="1:13" x14ac:dyDescent="0.2">
      <c r="A311" s="49" t="s">
        <v>230</v>
      </c>
      <c r="B311" s="49">
        <v>19</v>
      </c>
      <c r="C311" s="66">
        <v>9.6000000000000002E-2</v>
      </c>
      <c r="D311" s="49">
        <v>3</v>
      </c>
      <c r="E311" s="49">
        <v>0</v>
      </c>
      <c r="F311" s="49">
        <v>0</v>
      </c>
      <c r="G311" s="49">
        <v>11842000</v>
      </c>
      <c r="H311" s="67">
        <v>3770000</v>
      </c>
      <c r="I311" s="67">
        <v>12870000</v>
      </c>
      <c r="J311" s="67">
        <v>4303000</v>
      </c>
      <c r="K311" s="68">
        <f t="shared" si="2"/>
        <v>0.8761329305135952</v>
      </c>
      <c r="L311" s="66">
        <f t="shared" si="3"/>
        <v>0.33434343434343433</v>
      </c>
      <c r="M311" s="49">
        <v>0</v>
      </c>
    </row>
    <row r="312" spans="1:13" x14ac:dyDescent="0.2">
      <c r="A312" s="49" t="s">
        <v>230</v>
      </c>
      <c r="B312" s="49">
        <v>20</v>
      </c>
      <c r="C312" s="66">
        <v>7.9000000000000001E-2</v>
      </c>
      <c r="D312" s="49">
        <v>0.5</v>
      </c>
      <c r="E312" s="49">
        <v>0</v>
      </c>
      <c r="F312" s="49">
        <v>6.5</v>
      </c>
      <c r="G312" s="49">
        <v>11764000</v>
      </c>
      <c r="H312" s="67">
        <v>3679000</v>
      </c>
      <c r="I312" s="67">
        <v>12193000</v>
      </c>
      <c r="J312" s="67">
        <v>4529000</v>
      </c>
      <c r="K312" s="68">
        <f t="shared" si="2"/>
        <v>0.81232060057407818</v>
      </c>
      <c r="L312" s="66">
        <f t="shared" si="3"/>
        <v>0.37144263101779712</v>
      </c>
      <c r="M312" s="49">
        <v>0</v>
      </c>
    </row>
    <row r="313" spans="1:13" x14ac:dyDescent="0.2">
      <c r="A313" s="49" t="s">
        <v>230</v>
      </c>
      <c r="B313" s="49">
        <v>21</v>
      </c>
      <c r="C313" s="66">
        <v>8.7999999999999995E-2</v>
      </c>
      <c r="D313" s="49">
        <v>3.4</v>
      </c>
      <c r="E313" s="49">
        <v>0</v>
      </c>
      <c r="F313" s="49">
        <v>7.34</v>
      </c>
      <c r="G313" s="49">
        <v>12552000</v>
      </c>
      <c r="H313" s="67">
        <v>3761000</v>
      </c>
      <c r="I313" s="67">
        <v>13229000</v>
      </c>
      <c r="J313" s="67">
        <v>5174000</v>
      </c>
      <c r="K313" s="68">
        <f t="shared" si="2"/>
        <v>0.7269037495168148</v>
      </c>
      <c r="L313" s="66">
        <f t="shared" si="3"/>
        <v>0.39111043918663541</v>
      </c>
      <c r="M313" s="49">
        <v>0</v>
      </c>
    </row>
    <row r="314" spans="1:13" x14ac:dyDescent="0.2">
      <c r="A314" s="49" t="s">
        <v>230</v>
      </c>
      <c r="B314" s="49">
        <v>22</v>
      </c>
      <c r="C314" s="66">
        <v>8.1000000000000003E-2</v>
      </c>
      <c r="D314" s="49">
        <v>14</v>
      </c>
      <c r="E314" s="49">
        <v>0</v>
      </c>
      <c r="F314" s="49">
        <v>5.52</v>
      </c>
      <c r="G314" s="49">
        <v>14391000</v>
      </c>
      <c r="H314" s="67">
        <v>4135000</v>
      </c>
      <c r="I314" s="67">
        <v>15773000</v>
      </c>
      <c r="J314" s="67">
        <v>5801000</v>
      </c>
      <c r="K314" s="68">
        <f t="shared" si="2"/>
        <v>0.71280813652818475</v>
      </c>
      <c r="L314" s="66">
        <f t="shared" si="3"/>
        <v>0.36778038420084957</v>
      </c>
      <c r="M314" s="49">
        <v>0</v>
      </c>
    </row>
    <row r="315" spans="1:13" x14ac:dyDescent="0.2">
      <c r="A315" s="49" t="s">
        <v>230</v>
      </c>
      <c r="B315" s="49">
        <v>23</v>
      </c>
      <c r="C315" s="66">
        <v>0.113</v>
      </c>
      <c r="D315" s="49">
        <v>14.1</v>
      </c>
      <c r="E315" s="49">
        <v>0</v>
      </c>
      <c r="F315" s="49">
        <v>5.43</v>
      </c>
      <c r="G315" s="49">
        <v>17278000</v>
      </c>
      <c r="H315" s="67">
        <v>4106000</v>
      </c>
      <c r="I315" s="67">
        <v>16040000</v>
      </c>
      <c r="J315" s="67">
        <v>6038000</v>
      </c>
      <c r="K315" s="68">
        <f t="shared" si="2"/>
        <v>0.68002649884067567</v>
      </c>
      <c r="L315" s="66">
        <f t="shared" si="3"/>
        <v>0.37643391521197006</v>
      </c>
      <c r="M315" s="49">
        <v>0</v>
      </c>
    </row>
    <row r="316" spans="1:13" x14ac:dyDescent="0.2">
      <c r="A316" s="49" t="s">
        <v>226</v>
      </c>
      <c r="B316" s="49">
        <v>19</v>
      </c>
      <c r="C316" s="66">
        <v>9.7000000000000003E-2</v>
      </c>
      <c r="D316" s="49">
        <v>3</v>
      </c>
      <c r="E316" s="49">
        <v>0</v>
      </c>
      <c r="F316" s="49">
        <v>10.14</v>
      </c>
      <c r="G316" s="49">
        <v>162232</v>
      </c>
      <c r="H316" s="67">
        <v>34027</v>
      </c>
      <c r="I316" s="67">
        <v>566195</v>
      </c>
      <c r="J316" s="67">
        <v>102397</v>
      </c>
      <c r="K316" s="68">
        <f t="shared" si="2"/>
        <v>0.33230465736300868</v>
      </c>
      <c r="L316" s="66">
        <f t="shared" si="3"/>
        <v>0.18085112019710523</v>
      </c>
      <c r="M316" s="49">
        <v>0</v>
      </c>
    </row>
    <row r="317" spans="1:13" x14ac:dyDescent="0.2">
      <c r="A317" s="49" t="s">
        <v>226</v>
      </c>
      <c r="B317" s="49">
        <v>20</v>
      </c>
      <c r="C317" s="66">
        <v>0.126</v>
      </c>
      <c r="D317" s="49">
        <v>0.5</v>
      </c>
      <c r="E317" s="49">
        <v>0</v>
      </c>
      <c r="F317" s="49">
        <v>21.15</v>
      </c>
      <c r="G317" s="49">
        <v>200658</v>
      </c>
      <c r="H317" s="67">
        <v>27978</v>
      </c>
      <c r="I317" s="67">
        <v>603381</v>
      </c>
      <c r="J317" s="67">
        <v>125469</v>
      </c>
      <c r="K317" s="68">
        <f t="shared" si="2"/>
        <v>0.22298735145733209</v>
      </c>
      <c r="L317" s="66">
        <f t="shared" si="3"/>
        <v>0.20794323984348198</v>
      </c>
      <c r="M317" s="49">
        <v>0</v>
      </c>
    </row>
    <row r="318" spans="1:13" x14ac:dyDescent="0.2">
      <c r="A318" s="49" t="s">
        <v>226</v>
      </c>
      <c r="B318" s="49">
        <v>21</v>
      </c>
      <c r="C318" s="66">
        <v>0.114</v>
      </c>
      <c r="D318" s="49">
        <v>3.4</v>
      </c>
      <c r="E318" s="49">
        <v>0</v>
      </c>
      <c r="F318" s="49" t="s">
        <v>432</v>
      </c>
      <c r="G318" s="49">
        <v>395395</v>
      </c>
      <c r="H318" s="67">
        <v>27978</v>
      </c>
      <c r="I318" s="67">
        <v>1020968</v>
      </c>
      <c r="J318" s="67">
        <v>230748</v>
      </c>
      <c r="K318" s="68">
        <f t="shared" si="2"/>
        <v>0.12124915492225284</v>
      </c>
      <c r="L318" s="66">
        <f t="shared" si="3"/>
        <v>0.22600904239897823</v>
      </c>
      <c r="M318" s="49">
        <v>0</v>
      </c>
    </row>
    <row r="319" spans="1:13" x14ac:dyDescent="0.2">
      <c r="A319" s="49" t="s">
        <v>226</v>
      </c>
      <c r="B319" s="49">
        <v>22</v>
      </c>
      <c r="C319" s="66">
        <v>0.10199999999999999</v>
      </c>
      <c r="D319" s="49">
        <v>14</v>
      </c>
      <c r="E319" s="49">
        <v>0</v>
      </c>
      <c r="F319" s="49">
        <v>-8.1999999999999993</v>
      </c>
      <c r="G319" s="49">
        <v>267351</v>
      </c>
      <c r="H319" s="67">
        <v>27978</v>
      </c>
      <c r="I319" s="67">
        <v>872461</v>
      </c>
      <c r="J319" s="67">
        <v>217711</v>
      </c>
      <c r="K319" s="68">
        <f t="shared" si="2"/>
        <v>0.1285098134683135</v>
      </c>
      <c r="L319" s="66">
        <f t="shared" si="3"/>
        <v>0.24953665550666448</v>
      </c>
      <c r="M319" s="49">
        <v>0</v>
      </c>
    </row>
    <row r="320" spans="1:13" x14ac:dyDescent="0.2">
      <c r="A320" s="49" t="s">
        <v>226</v>
      </c>
      <c r="B320" s="49">
        <v>23</v>
      </c>
      <c r="C320" s="66">
        <v>0.1</v>
      </c>
      <c r="D320" s="49">
        <v>14.1</v>
      </c>
      <c r="E320" s="49">
        <v>0</v>
      </c>
      <c r="F320" s="49" t="s">
        <v>433</v>
      </c>
      <c r="G320" s="49">
        <v>242581</v>
      </c>
      <c r="H320" s="67">
        <v>27978</v>
      </c>
      <c r="I320" s="67">
        <v>996018</v>
      </c>
      <c r="J320" s="67">
        <v>210577</v>
      </c>
      <c r="K320" s="68">
        <f t="shared" si="2"/>
        <v>0.13286351310921896</v>
      </c>
      <c r="L320" s="66">
        <f t="shared" si="3"/>
        <v>0.21141886994010148</v>
      </c>
      <c r="M320" s="49">
        <v>0</v>
      </c>
    </row>
    <row r="321" spans="1:13" x14ac:dyDescent="0.2">
      <c r="A321" s="49" t="s">
        <v>228</v>
      </c>
      <c r="B321" s="49">
        <v>19</v>
      </c>
      <c r="C321" s="66">
        <v>7.3999999999999996E-2</v>
      </c>
      <c r="D321" s="49">
        <v>3</v>
      </c>
      <c r="E321" s="49">
        <v>0</v>
      </c>
      <c r="F321" s="49">
        <v>6.01</v>
      </c>
      <c r="G321" s="49">
        <v>8821278</v>
      </c>
      <c r="H321" s="67">
        <v>3061957</v>
      </c>
      <c r="I321" s="67">
        <v>10650513</v>
      </c>
      <c r="J321" s="67">
        <v>3315814</v>
      </c>
      <c r="K321" s="68">
        <f t="shared" si="2"/>
        <v>0.9234405186780682</v>
      </c>
      <c r="L321" s="66">
        <f t="shared" si="3"/>
        <v>0.31132904114571758</v>
      </c>
      <c r="M321" s="49">
        <v>0</v>
      </c>
    </row>
    <row r="322" spans="1:13" x14ac:dyDescent="0.2">
      <c r="A322" s="49" t="s">
        <v>228</v>
      </c>
      <c r="B322" s="49">
        <v>20</v>
      </c>
      <c r="C322" s="66">
        <v>5.0999999999999997E-2</v>
      </c>
      <c r="D322" s="49">
        <v>0.5</v>
      </c>
      <c r="E322" s="49">
        <v>0</v>
      </c>
      <c r="F322" s="49">
        <v>6.24</v>
      </c>
      <c r="G322" s="49">
        <v>10012225</v>
      </c>
      <c r="H322" s="67">
        <v>2901920</v>
      </c>
      <c r="I322" s="67">
        <v>11147104</v>
      </c>
      <c r="J322" s="67">
        <v>4495366</v>
      </c>
      <c r="K322" s="68">
        <f t="shared" si="2"/>
        <v>0.64553586960438814</v>
      </c>
      <c r="L322" s="66">
        <f t="shared" si="3"/>
        <v>0.40327658197142502</v>
      </c>
      <c r="M322" s="49">
        <v>0</v>
      </c>
    </row>
    <row r="323" spans="1:13" x14ac:dyDescent="0.2">
      <c r="A323" s="49" t="s">
        <v>228</v>
      </c>
      <c r="B323" s="49">
        <v>21</v>
      </c>
      <c r="C323" s="66">
        <v>0.106</v>
      </c>
      <c r="D323" s="49">
        <v>3.4</v>
      </c>
      <c r="E323" s="49">
        <v>0</v>
      </c>
      <c r="F323" s="49">
        <v>11.9</v>
      </c>
      <c r="G323" s="49">
        <v>14118763</v>
      </c>
      <c r="H323" s="67">
        <v>3810037</v>
      </c>
      <c r="I323" s="67">
        <v>17264580</v>
      </c>
      <c r="J323" s="67">
        <v>5305555</v>
      </c>
      <c r="K323" s="68">
        <f t="shared" si="2"/>
        <v>0.7181222322641081</v>
      </c>
      <c r="L323" s="66">
        <f t="shared" si="3"/>
        <v>0.30730866317049127</v>
      </c>
      <c r="M323" s="49">
        <v>0</v>
      </c>
    </row>
    <row r="324" spans="1:13" x14ac:dyDescent="0.2">
      <c r="A324" s="49" t="s">
        <v>228</v>
      </c>
      <c r="B324" s="49">
        <v>22</v>
      </c>
      <c r="C324" s="66">
        <v>0.115</v>
      </c>
      <c r="D324" s="49">
        <v>14</v>
      </c>
      <c r="E324" s="49">
        <v>0</v>
      </c>
      <c r="F324" s="49">
        <v>4.2699999999999996</v>
      </c>
      <c r="G324" s="49">
        <v>16796142</v>
      </c>
      <c r="H324" s="67">
        <v>5515301</v>
      </c>
      <c r="I324" s="67">
        <v>20371801</v>
      </c>
      <c r="J324" s="67">
        <v>5279518</v>
      </c>
      <c r="K324" s="68">
        <f t="shared" si="2"/>
        <v>1.0446599481240522</v>
      </c>
      <c r="L324" s="66">
        <f t="shared" si="3"/>
        <v>0.2591581372702394</v>
      </c>
      <c r="M324" s="49">
        <v>0</v>
      </c>
    </row>
    <row r="325" spans="1:13" x14ac:dyDescent="0.2">
      <c r="A325" s="49" t="s">
        <v>228</v>
      </c>
      <c r="B325" s="49">
        <v>23</v>
      </c>
      <c r="C325" s="66">
        <v>0.153</v>
      </c>
      <c r="D325" s="49">
        <v>14.1</v>
      </c>
      <c r="E325" s="49">
        <v>0</v>
      </c>
      <c r="F325" s="49">
        <v>4.29</v>
      </c>
      <c r="G325" s="49">
        <v>19378054</v>
      </c>
      <c r="H325" s="67">
        <v>5736632</v>
      </c>
      <c r="I325" s="67">
        <v>21540665</v>
      </c>
      <c r="J325" s="67">
        <v>5509164</v>
      </c>
      <c r="K325" s="68">
        <f t="shared" si="2"/>
        <v>1.041289023162135</v>
      </c>
      <c r="L325" s="66">
        <f t="shared" si="3"/>
        <v>0.2557564494875158</v>
      </c>
      <c r="M325" s="49">
        <v>0</v>
      </c>
    </row>
    <row r="326" spans="1:13" x14ac:dyDescent="0.2">
      <c r="A326" s="49" t="s">
        <v>232</v>
      </c>
      <c r="B326" s="49">
        <v>19</v>
      </c>
      <c r="C326" s="66">
        <v>0.12</v>
      </c>
      <c r="D326" s="49">
        <v>3</v>
      </c>
      <c r="E326" s="49">
        <v>0</v>
      </c>
      <c r="F326" s="49" t="s">
        <v>434</v>
      </c>
      <c r="G326" s="49">
        <v>4278000</v>
      </c>
      <c r="H326" s="67">
        <v>3961000</v>
      </c>
      <c r="I326" s="67">
        <v>8964000</v>
      </c>
      <c r="J326" s="67">
        <v>5179000</v>
      </c>
      <c r="K326" s="68">
        <f t="shared" si="2"/>
        <v>0.76481946321683725</v>
      </c>
      <c r="L326" s="66">
        <f t="shared" si="3"/>
        <v>0.57775546630968322</v>
      </c>
      <c r="M326" s="49">
        <v>0</v>
      </c>
    </row>
    <row r="327" spans="1:13" x14ac:dyDescent="0.2">
      <c r="A327" s="49" t="s">
        <v>232</v>
      </c>
      <c r="B327" s="49">
        <v>20</v>
      </c>
      <c r="C327" s="66">
        <v>9.5000000000000001E-2</v>
      </c>
      <c r="D327" s="49">
        <v>0.5</v>
      </c>
      <c r="E327" s="49">
        <v>0</v>
      </c>
      <c r="F327" s="49">
        <v>2.5499999999999998</v>
      </c>
      <c r="G327" s="49">
        <v>4030000</v>
      </c>
      <c r="H327" s="67">
        <v>6078000</v>
      </c>
      <c r="I327" s="67">
        <v>10800000</v>
      </c>
      <c r="J327" s="67">
        <v>3841000</v>
      </c>
      <c r="K327" s="68">
        <f t="shared" si="2"/>
        <v>1.582400416558188</v>
      </c>
      <c r="L327" s="66">
        <f t="shared" si="3"/>
        <v>0.35564814814814816</v>
      </c>
      <c r="M327" s="49">
        <v>0</v>
      </c>
    </row>
    <row r="328" spans="1:13" x14ac:dyDescent="0.2">
      <c r="A328" s="49" t="s">
        <v>232</v>
      </c>
      <c r="B328" s="49">
        <v>21</v>
      </c>
      <c r="C328" s="66">
        <v>9.1999999999999998E-2</v>
      </c>
      <c r="D328" s="49">
        <v>3.4</v>
      </c>
      <c r="E328" s="49">
        <v>0</v>
      </c>
      <c r="F328" s="49">
        <v>3.56</v>
      </c>
      <c r="G328" s="49">
        <v>5343000</v>
      </c>
      <c r="H328" s="67">
        <v>11032000</v>
      </c>
      <c r="I328" s="67">
        <v>17436000</v>
      </c>
      <c r="J328" s="67">
        <v>8002000</v>
      </c>
      <c r="K328" s="68">
        <f t="shared" si="2"/>
        <v>1.3786553361659586</v>
      </c>
      <c r="L328" s="66">
        <f t="shared" si="3"/>
        <v>0.45893553567331957</v>
      </c>
      <c r="M328" s="49">
        <v>0</v>
      </c>
    </row>
    <row r="329" spans="1:13" x14ac:dyDescent="0.2">
      <c r="A329" s="49" t="s">
        <v>232</v>
      </c>
      <c r="B329" s="49">
        <v>22</v>
      </c>
      <c r="C329" s="66">
        <v>9.6000000000000002E-2</v>
      </c>
      <c r="D329" s="49">
        <v>14</v>
      </c>
      <c r="E329" s="49">
        <v>0</v>
      </c>
      <c r="F329" s="49">
        <v>17.46</v>
      </c>
      <c r="G329" s="49">
        <v>5581000</v>
      </c>
      <c r="H329" s="67">
        <v>10285000</v>
      </c>
      <c r="I329" s="67">
        <v>18769000</v>
      </c>
      <c r="J329" s="67">
        <v>13934000</v>
      </c>
      <c r="K329" s="68">
        <f t="shared" si="2"/>
        <v>0.73812257786708768</v>
      </c>
      <c r="L329" s="66">
        <f t="shared" si="3"/>
        <v>0.742394373701316</v>
      </c>
      <c r="M329" s="49">
        <v>0</v>
      </c>
    </row>
    <row r="330" spans="1:13" x14ac:dyDescent="0.2">
      <c r="A330" s="49" t="s">
        <v>232</v>
      </c>
      <c r="B330" s="49">
        <v>23</v>
      </c>
      <c r="C330" s="66">
        <v>0.109</v>
      </c>
      <c r="D330" s="49">
        <v>14.1</v>
      </c>
      <c r="E330" s="49">
        <v>0</v>
      </c>
      <c r="F330" s="49">
        <v>19.010000000000002</v>
      </c>
      <c r="G330" s="49">
        <v>5891000</v>
      </c>
      <c r="H330" s="67">
        <v>10418000</v>
      </c>
      <c r="I330" s="67">
        <v>17500000</v>
      </c>
      <c r="J330" s="67">
        <v>13714000</v>
      </c>
      <c r="K330" s="68">
        <f t="shared" si="2"/>
        <v>0.75966165961790866</v>
      </c>
      <c r="L330" s="66">
        <f t="shared" si="3"/>
        <v>0.78365714285714283</v>
      </c>
      <c r="M330" s="49">
        <v>0</v>
      </c>
    </row>
    <row r="331" spans="1:13" x14ac:dyDescent="0.2">
      <c r="A331" s="49" t="s">
        <v>234</v>
      </c>
      <c r="B331" s="49">
        <v>19</v>
      </c>
      <c r="C331" s="66">
        <v>0.152</v>
      </c>
      <c r="D331" s="49">
        <v>3</v>
      </c>
      <c r="E331" s="49">
        <v>0</v>
      </c>
      <c r="F331" s="49" t="s">
        <v>435</v>
      </c>
      <c r="G331" s="49">
        <v>4377000</v>
      </c>
      <c r="H331" s="67">
        <v>1046000</v>
      </c>
      <c r="I331" s="67">
        <v>4800000</v>
      </c>
      <c r="J331" s="67">
        <v>2973000</v>
      </c>
      <c r="K331" s="68">
        <f t="shared" si="2"/>
        <v>0.35183316515304408</v>
      </c>
      <c r="L331" s="66">
        <f t="shared" si="3"/>
        <v>0.61937500000000001</v>
      </c>
      <c r="M331" s="49">
        <v>0</v>
      </c>
    </row>
    <row r="332" spans="1:13" x14ac:dyDescent="0.2">
      <c r="A332" s="49" t="s">
        <v>234</v>
      </c>
      <c r="B332" s="49">
        <v>20</v>
      </c>
      <c r="C332" s="66"/>
      <c r="D332" s="49">
        <v>0.5</v>
      </c>
      <c r="E332" s="49">
        <v>0</v>
      </c>
      <c r="F332" s="49">
        <v>23.29</v>
      </c>
      <c r="G332" s="49">
        <v>3937000</v>
      </c>
      <c r="H332" s="67">
        <v>963000</v>
      </c>
      <c r="I332" s="67">
        <v>5319000</v>
      </c>
      <c r="J332" s="67">
        <v>3364000</v>
      </c>
      <c r="K332" s="68">
        <f t="shared" si="2"/>
        <v>0.28626634958382879</v>
      </c>
      <c r="L332" s="66">
        <f t="shared" si="3"/>
        <v>0.63244970859184058</v>
      </c>
      <c r="M332" s="49">
        <v>0</v>
      </c>
    </row>
    <row r="333" spans="1:13" x14ac:dyDescent="0.2">
      <c r="A333" s="49" t="s">
        <v>234</v>
      </c>
      <c r="B333" s="49">
        <v>21</v>
      </c>
      <c r="C333" s="66">
        <v>0.1368</v>
      </c>
      <c r="D333" s="49">
        <v>3.4</v>
      </c>
      <c r="E333" s="49">
        <v>0</v>
      </c>
      <c r="F333" s="49">
        <v>23.27</v>
      </c>
      <c r="G333" s="49">
        <v>4720000</v>
      </c>
      <c r="H333" s="67">
        <v>1740000</v>
      </c>
      <c r="I333" s="67">
        <v>6136000</v>
      </c>
      <c r="J333" s="67">
        <v>3956000</v>
      </c>
      <c r="K333" s="68">
        <f t="shared" si="2"/>
        <v>0.43983822042467141</v>
      </c>
      <c r="L333" s="66">
        <f t="shared" si="3"/>
        <v>0.64471968709256844</v>
      </c>
      <c r="M333" s="49">
        <v>0</v>
      </c>
    </row>
    <row r="334" spans="1:13" x14ac:dyDescent="0.2">
      <c r="A334" s="49" t="s">
        <v>234</v>
      </c>
      <c r="B334" s="49">
        <v>22</v>
      </c>
      <c r="C334" s="66">
        <v>0.13980000000000001</v>
      </c>
      <c r="D334" s="49">
        <v>14</v>
      </c>
      <c r="E334" s="49">
        <v>0</v>
      </c>
      <c r="F334" s="49">
        <v>18.04</v>
      </c>
      <c r="G334" s="49">
        <v>5252000</v>
      </c>
      <c r="H334" s="67">
        <v>1866000</v>
      </c>
      <c r="I334" s="67">
        <v>7340000</v>
      </c>
      <c r="J334" s="67">
        <v>4663000</v>
      </c>
      <c r="K334" s="68">
        <f t="shared" si="2"/>
        <v>0.40017156337122023</v>
      </c>
      <c r="L334" s="66">
        <f t="shared" si="3"/>
        <v>0.63528610354223436</v>
      </c>
      <c r="M334" s="49">
        <v>0</v>
      </c>
    </row>
    <row r="335" spans="1:13" x14ac:dyDescent="0.2">
      <c r="A335" s="49" t="s">
        <v>234</v>
      </c>
      <c r="B335" s="49">
        <v>23</v>
      </c>
      <c r="C335" s="66">
        <v>0.13800000000000001</v>
      </c>
      <c r="D335" s="49">
        <v>14.1</v>
      </c>
      <c r="E335" s="49">
        <v>0</v>
      </c>
      <c r="F335" s="49">
        <v>22.34</v>
      </c>
      <c r="G335" s="49">
        <v>5767000</v>
      </c>
      <c r="H335" s="67">
        <v>1803000</v>
      </c>
      <c r="I335" s="67">
        <v>8340000</v>
      </c>
      <c r="J335" s="67">
        <v>5247000</v>
      </c>
      <c r="K335" s="68">
        <f t="shared" si="2"/>
        <v>0.3436249285305889</v>
      </c>
      <c r="L335" s="66">
        <f t="shared" si="3"/>
        <v>0.62913669064748201</v>
      </c>
      <c r="M335" s="49">
        <v>0</v>
      </c>
    </row>
    <row r="336" spans="1:13" x14ac:dyDescent="0.2">
      <c r="A336" s="49" t="s">
        <v>236</v>
      </c>
      <c r="B336" s="49">
        <v>19</v>
      </c>
      <c r="C336" s="66">
        <v>8.8999999999999996E-2</v>
      </c>
      <c r="D336" s="49">
        <v>3</v>
      </c>
      <c r="E336" s="49">
        <v>0</v>
      </c>
      <c r="F336" s="49">
        <v>2.2799999999999998</v>
      </c>
      <c r="G336" s="49">
        <v>58273000</v>
      </c>
      <c r="H336" s="67">
        <v>1893000</v>
      </c>
      <c r="I336" s="67">
        <v>29890000</v>
      </c>
      <c r="J336" s="67">
        <v>3044000</v>
      </c>
      <c r="K336" s="68">
        <f t="shared" si="2"/>
        <v>0.62187910643889621</v>
      </c>
      <c r="L336" s="66">
        <f t="shared" si="3"/>
        <v>0.10184008029441284</v>
      </c>
      <c r="M336" s="49">
        <v>0</v>
      </c>
    </row>
    <row r="337" spans="1:13" x14ac:dyDescent="0.2">
      <c r="A337" s="49" t="s">
        <v>236</v>
      </c>
      <c r="B337" s="49">
        <v>20</v>
      </c>
      <c r="C337" s="66">
        <v>8.3000000000000004E-2</v>
      </c>
      <c r="D337" s="49">
        <v>0.5</v>
      </c>
      <c r="E337" s="49">
        <v>0</v>
      </c>
      <c r="F337" s="49">
        <v>2.58</v>
      </c>
      <c r="G337" s="49">
        <v>53943000</v>
      </c>
      <c r="H337" s="67">
        <v>1800000</v>
      </c>
      <c r="I337" s="67">
        <v>28549000</v>
      </c>
      <c r="J337" s="67">
        <v>3972000</v>
      </c>
      <c r="K337" s="68">
        <f t="shared" si="2"/>
        <v>0.45317220543806647</v>
      </c>
      <c r="L337" s="66">
        <f t="shared" si="3"/>
        <v>0.13912921643490139</v>
      </c>
      <c r="M337" s="49">
        <v>0</v>
      </c>
    </row>
    <row r="338" spans="1:13" x14ac:dyDescent="0.2">
      <c r="A338" s="49" t="s">
        <v>236</v>
      </c>
      <c r="B338" s="49">
        <v>21</v>
      </c>
      <c r="C338" s="66">
        <v>8.7999999999999995E-2</v>
      </c>
      <c r="D338" s="49">
        <v>3.4</v>
      </c>
      <c r="E338" s="49">
        <v>0</v>
      </c>
      <c r="F338" s="49">
        <v>3.45</v>
      </c>
      <c r="G338" s="49">
        <v>53589000</v>
      </c>
      <c r="H338" s="67">
        <v>1852000</v>
      </c>
      <c r="I338" s="67">
        <v>29421000</v>
      </c>
      <c r="J338" s="67">
        <v>5844000</v>
      </c>
      <c r="K338" s="68">
        <f t="shared" si="2"/>
        <v>0.31690622861054074</v>
      </c>
      <c r="L338" s="66">
        <f t="shared" si="3"/>
        <v>0.19863362904048129</v>
      </c>
      <c r="M338" s="49">
        <v>0</v>
      </c>
    </row>
    <row r="339" spans="1:13" x14ac:dyDescent="0.2">
      <c r="A339" s="49" t="s">
        <v>236</v>
      </c>
      <c r="B339" s="49">
        <v>22</v>
      </c>
      <c r="C339" s="66">
        <v>8.0500000000000002E-2</v>
      </c>
      <c r="D339" s="49">
        <v>14</v>
      </c>
      <c r="E339" s="49">
        <v>0</v>
      </c>
      <c r="F339" s="49">
        <v>2.56</v>
      </c>
      <c r="G339" s="49">
        <v>54541000</v>
      </c>
      <c r="H339" s="67">
        <v>1943000</v>
      </c>
      <c r="I339" s="67">
        <v>29565000</v>
      </c>
      <c r="J339" s="67">
        <v>7183000</v>
      </c>
      <c r="K339" s="68">
        <f t="shared" si="2"/>
        <v>0.27049979117360434</v>
      </c>
      <c r="L339" s="66">
        <f t="shared" si="3"/>
        <v>0.24295619820733977</v>
      </c>
      <c r="M339" s="49">
        <v>0</v>
      </c>
    </row>
    <row r="340" spans="1:13" x14ac:dyDescent="0.2">
      <c r="A340" s="49" t="s">
        <v>236</v>
      </c>
      <c r="B340" s="49">
        <v>23</v>
      </c>
      <c r="C340" s="66">
        <v>8.5300000000000001E-2</v>
      </c>
      <c r="D340" s="49">
        <v>14.1</v>
      </c>
      <c r="E340" s="49">
        <v>0</v>
      </c>
      <c r="F340" s="49">
        <v>3.31</v>
      </c>
      <c r="G340" s="49">
        <v>57216000</v>
      </c>
      <c r="H340" s="67">
        <v>1913000</v>
      </c>
      <c r="I340" s="67">
        <v>31950000</v>
      </c>
      <c r="J340" s="67">
        <v>7324000</v>
      </c>
      <c r="K340" s="68">
        <f t="shared" si="2"/>
        <v>0.26119606772255599</v>
      </c>
      <c r="L340" s="66">
        <f t="shared" si="3"/>
        <v>0.22923317683881064</v>
      </c>
      <c r="M340" s="49">
        <v>0</v>
      </c>
    </row>
    <row r="341" spans="1:13" x14ac:dyDescent="0.2">
      <c r="A341" s="49" t="s">
        <v>240</v>
      </c>
      <c r="B341" s="49">
        <v>19</v>
      </c>
      <c r="C341" s="66">
        <v>5.3999999999999999E-2</v>
      </c>
      <c r="D341" s="49">
        <v>3</v>
      </c>
      <c r="E341" s="49">
        <v>0</v>
      </c>
      <c r="F341" s="49">
        <v>13.28</v>
      </c>
      <c r="G341" s="49">
        <v>25596000</v>
      </c>
      <c r="H341" s="67">
        <v>14071000</v>
      </c>
      <c r="I341" s="67">
        <v>37229000</v>
      </c>
      <c r="J341" s="67">
        <v>17509000</v>
      </c>
      <c r="K341" s="68">
        <f t="shared" si="2"/>
        <v>0.80364384031069735</v>
      </c>
      <c r="L341" s="66">
        <f t="shared" si="3"/>
        <v>0.47030540707512958</v>
      </c>
      <c r="M341" s="49">
        <v>0</v>
      </c>
    </row>
    <row r="342" spans="1:13" x14ac:dyDescent="0.2">
      <c r="A342" s="49" t="s">
        <v>240</v>
      </c>
      <c r="B342" s="49">
        <v>20</v>
      </c>
      <c r="C342" s="66">
        <v>5.8000000000000003E-2</v>
      </c>
      <c r="D342" s="49">
        <v>0.5</v>
      </c>
      <c r="E342" s="49">
        <v>0</v>
      </c>
      <c r="F342" s="49">
        <v>15.23</v>
      </c>
      <c r="G342" s="49">
        <v>27863000</v>
      </c>
      <c r="H342" s="67">
        <v>14210000</v>
      </c>
      <c r="I342" s="67">
        <v>38337000</v>
      </c>
      <c r="J342" s="67">
        <v>17588000</v>
      </c>
      <c r="K342" s="68">
        <f t="shared" si="2"/>
        <v>0.80793722992949735</v>
      </c>
      <c r="L342" s="66">
        <f t="shared" si="3"/>
        <v>0.45877350862091454</v>
      </c>
      <c r="M342" s="49">
        <v>0</v>
      </c>
    </row>
    <row r="343" spans="1:13" x14ac:dyDescent="0.2">
      <c r="A343" s="49" t="s">
        <v>240</v>
      </c>
      <c r="B343" s="49">
        <v>21</v>
      </c>
      <c r="C343" s="66">
        <v>5.9700000000000003E-2</v>
      </c>
      <c r="D343" s="49">
        <v>3.4</v>
      </c>
      <c r="E343" s="49">
        <v>0</v>
      </c>
      <c r="F343" s="49">
        <v>14.9</v>
      </c>
      <c r="G343" s="49">
        <v>31324000</v>
      </c>
      <c r="H343" s="67">
        <v>15453000</v>
      </c>
      <c r="I343" s="67">
        <v>43394000</v>
      </c>
      <c r="J343" s="67">
        <v>21438000</v>
      </c>
      <c r="K343" s="68">
        <f t="shared" si="2"/>
        <v>0.72082283795130142</v>
      </c>
      <c r="L343" s="66">
        <f t="shared" si="3"/>
        <v>0.49403143291699314</v>
      </c>
      <c r="M343" s="49">
        <v>0</v>
      </c>
    </row>
    <row r="344" spans="1:13" x14ac:dyDescent="0.2">
      <c r="A344" s="49" t="s">
        <v>240</v>
      </c>
      <c r="B344" s="49">
        <v>22</v>
      </c>
      <c r="C344" s="66">
        <v>8.3699999999999997E-2</v>
      </c>
      <c r="D344" s="49">
        <v>14</v>
      </c>
      <c r="E344" s="49">
        <v>0</v>
      </c>
      <c r="F344" s="49">
        <v>16.12</v>
      </c>
      <c r="G344" s="49">
        <v>40894000</v>
      </c>
      <c r="H344" s="67">
        <v>17630000</v>
      </c>
      <c r="I344" s="67">
        <v>53994000</v>
      </c>
      <c r="J344" s="67">
        <v>27935000</v>
      </c>
      <c r="K344" s="68">
        <f t="shared" si="2"/>
        <v>0.63110792912117419</v>
      </c>
      <c r="L344" s="66">
        <f t="shared" si="3"/>
        <v>0.51737230062599548</v>
      </c>
      <c r="M344" s="49">
        <v>0</v>
      </c>
    </row>
    <row r="345" spans="1:13" x14ac:dyDescent="0.2">
      <c r="A345" s="49" t="s">
        <v>240</v>
      </c>
      <c r="B345" s="49">
        <v>23</v>
      </c>
      <c r="C345" s="66">
        <v>9.7000000000000003E-2</v>
      </c>
      <c r="D345" s="49">
        <v>14.1</v>
      </c>
      <c r="E345" s="49">
        <v>0</v>
      </c>
      <c r="F345" s="49">
        <v>16.34</v>
      </c>
      <c r="G345" s="49">
        <v>47473000</v>
      </c>
      <c r="H345" s="67">
        <v>22925000</v>
      </c>
      <c r="I345" s="67">
        <v>68104000</v>
      </c>
      <c r="J345" s="67">
        <v>30160000</v>
      </c>
      <c r="K345" s="68">
        <f t="shared" si="2"/>
        <v>0.76011273209549068</v>
      </c>
      <c r="L345" s="66">
        <f t="shared" si="3"/>
        <v>0.44285210853988016</v>
      </c>
      <c r="M345" s="49">
        <v>0</v>
      </c>
    </row>
    <row r="346" spans="1:13" x14ac:dyDescent="0.2">
      <c r="A346" s="49" t="s">
        <v>238</v>
      </c>
      <c r="B346" s="49">
        <v>19</v>
      </c>
      <c r="C346" s="66">
        <v>0.10199999999999999</v>
      </c>
      <c r="D346" s="49">
        <v>3</v>
      </c>
      <c r="E346" s="49">
        <v>11400</v>
      </c>
      <c r="F346" s="49">
        <v>8.2799999999999994</v>
      </c>
      <c r="G346" s="49">
        <v>6981500</v>
      </c>
      <c r="H346" s="67">
        <v>895600</v>
      </c>
      <c r="I346" s="67">
        <v>8394300</v>
      </c>
      <c r="J346" s="67">
        <v>3754300</v>
      </c>
      <c r="K346" s="68">
        <f t="shared" si="2"/>
        <v>0.23855312574914098</v>
      </c>
      <c r="L346" s="66">
        <f t="shared" si="3"/>
        <v>0.44724396316548132</v>
      </c>
      <c r="M346" s="49">
        <v>1</v>
      </c>
    </row>
    <row r="347" spans="1:13" x14ac:dyDescent="0.2">
      <c r="A347" s="49" t="s">
        <v>238</v>
      </c>
      <c r="B347" s="49">
        <v>20</v>
      </c>
      <c r="C347" s="66">
        <v>0.10199999999999999</v>
      </c>
      <c r="D347" s="49">
        <v>0.5</v>
      </c>
      <c r="E347" s="49">
        <v>0</v>
      </c>
      <c r="F347" s="49">
        <v>9.02</v>
      </c>
      <c r="G347" s="49">
        <v>6245000</v>
      </c>
      <c r="H347" s="67">
        <v>829900</v>
      </c>
      <c r="I347" s="67">
        <v>7216700</v>
      </c>
      <c r="J347" s="67">
        <v>3845000</v>
      </c>
      <c r="K347" s="68">
        <f t="shared" si="2"/>
        <v>0.21583875162548766</v>
      </c>
      <c r="L347" s="66">
        <f t="shared" si="3"/>
        <v>0.53279199634181829</v>
      </c>
      <c r="M347" s="49">
        <v>0</v>
      </c>
    </row>
    <row r="348" spans="1:13" x14ac:dyDescent="0.2">
      <c r="A348" s="49" t="s">
        <v>238</v>
      </c>
      <c r="B348" s="49">
        <v>21</v>
      </c>
      <c r="C348" s="66">
        <v>0.10199999999999999</v>
      </c>
      <c r="D348" s="49">
        <v>3.4</v>
      </c>
      <c r="E348" s="49">
        <v>900</v>
      </c>
      <c r="F348" s="49">
        <v>15.02</v>
      </c>
      <c r="G348" s="49">
        <v>6830100</v>
      </c>
      <c r="H348" s="67">
        <v>881600</v>
      </c>
      <c r="I348" s="67">
        <v>7660600</v>
      </c>
      <c r="J348" s="67">
        <v>4566700</v>
      </c>
      <c r="K348" s="68">
        <f t="shared" si="2"/>
        <v>0.19304968576871701</v>
      </c>
      <c r="L348" s="66">
        <f t="shared" si="3"/>
        <v>0.59612824060778524</v>
      </c>
      <c r="M348" s="49">
        <v>1</v>
      </c>
    </row>
    <row r="349" spans="1:13" x14ac:dyDescent="0.2">
      <c r="A349" s="49" t="s">
        <v>238</v>
      </c>
      <c r="B349" s="49">
        <v>22</v>
      </c>
      <c r="C349" s="66">
        <v>0.10199999999999999</v>
      </c>
      <c r="D349" s="49">
        <v>14</v>
      </c>
      <c r="E349" s="49">
        <v>1000</v>
      </c>
      <c r="F349" s="49">
        <v>17.059999999999999</v>
      </c>
      <c r="G349" s="49">
        <v>8967500</v>
      </c>
      <c r="H349" s="67">
        <v>1118300</v>
      </c>
      <c r="I349" s="67">
        <v>10943600</v>
      </c>
      <c r="J349" s="67">
        <v>5889400</v>
      </c>
      <c r="K349" s="68">
        <f t="shared" si="2"/>
        <v>0.18988351954358679</v>
      </c>
      <c r="L349" s="66">
        <f t="shared" si="3"/>
        <v>0.53815928944771374</v>
      </c>
      <c r="M349" s="49">
        <v>1</v>
      </c>
    </row>
    <row r="350" spans="1:13" x14ac:dyDescent="0.2">
      <c r="A350" s="49" t="s">
        <v>238</v>
      </c>
      <c r="B350" s="49">
        <v>23</v>
      </c>
      <c r="C350" s="66"/>
      <c r="D350" s="49">
        <v>14.1</v>
      </c>
      <c r="E350" s="49">
        <v>1100</v>
      </c>
      <c r="F350" s="49">
        <v>17.079999999999998</v>
      </c>
      <c r="G350" s="49">
        <v>9643600</v>
      </c>
      <c r="H350" s="67">
        <v>1095200</v>
      </c>
      <c r="I350" s="67">
        <v>10739300</v>
      </c>
      <c r="J350" s="67">
        <v>6459300</v>
      </c>
      <c r="K350" s="68">
        <f t="shared" si="2"/>
        <v>0.16955397643707523</v>
      </c>
      <c r="L350" s="66">
        <f t="shared" si="3"/>
        <v>0.60146378255566002</v>
      </c>
      <c r="M350" s="49">
        <v>1</v>
      </c>
    </row>
    <row r="351" spans="1:13" x14ac:dyDescent="0.2">
      <c r="A351" s="49" t="s">
        <v>242</v>
      </c>
      <c r="B351" s="49">
        <v>19</v>
      </c>
      <c r="C351" s="66">
        <v>9.6000000000000002E-2</v>
      </c>
      <c r="D351" s="49">
        <v>3</v>
      </c>
      <c r="E351" s="49">
        <v>0</v>
      </c>
      <c r="F351" s="49">
        <v>8.1300000000000008</v>
      </c>
      <c r="G351" s="49">
        <v>14362000</v>
      </c>
      <c r="H351" s="67">
        <v>3042000</v>
      </c>
      <c r="I351" s="67">
        <v>10846000</v>
      </c>
      <c r="J351" s="67">
        <v>4277000</v>
      </c>
      <c r="K351" s="68">
        <f t="shared" si="2"/>
        <v>0.71124620060790278</v>
      </c>
      <c r="L351" s="66">
        <f t="shared" si="3"/>
        <v>0.39433892679328786</v>
      </c>
      <c r="M351" s="49">
        <v>0</v>
      </c>
    </row>
    <row r="352" spans="1:13" x14ac:dyDescent="0.2">
      <c r="A352" s="49" t="s">
        <v>242</v>
      </c>
      <c r="B352" s="49">
        <v>20</v>
      </c>
      <c r="C352" s="66">
        <v>9.0999999999999998E-2</v>
      </c>
      <c r="D352" s="49">
        <v>0.5</v>
      </c>
      <c r="E352" s="49">
        <v>0</v>
      </c>
      <c r="F352" s="49">
        <v>3.48</v>
      </c>
      <c r="G352" s="49">
        <v>13444000</v>
      </c>
      <c r="H352" s="67">
        <v>2830000</v>
      </c>
      <c r="I352" s="67">
        <v>10085000</v>
      </c>
      <c r="J352" s="67">
        <v>4034000</v>
      </c>
      <c r="K352" s="68">
        <f t="shared" si="2"/>
        <v>0.7015369360436291</v>
      </c>
      <c r="L352" s="66">
        <f t="shared" si="3"/>
        <v>0.4</v>
      </c>
      <c r="M352" s="49">
        <v>0</v>
      </c>
    </row>
    <row r="353" spans="1:13" x14ac:dyDescent="0.2">
      <c r="A353" s="49" t="s">
        <v>242</v>
      </c>
      <c r="B353" s="49">
        <v>21</v>
      </c>
      <c r="C353" s="66">
        <v>8.1000000000000003E-2</v>
      </c>
      <c r="D353" s="49">
        <v>3.4</v>
      </c>
      <c r="E353" s="49">
        <v>0</v>
      </c>
      <c r="F353" s="49">
        <v>8.43</v>
      </c>
      <c r="G353" s="49">
        <v>14253000</v>
      </c>
      <c r="H353" s="67">
        <v>3014000</v>
      </c>
      <c r="I353" s="67">
        <v>10629000</v>
      </c>
      <c r="J353" s="67">
        <v>4923000</v>
      </c>
      <c r="K353" s="68">
        <f t="shared" si="2"/>
        <v>0.61222831606743855</v>
      </c>
      <c r="L353" s="66">
        <f t="shared" si="3"/>
        <v>0.46316680779000846</v>
      </c>
      <c r="M353" s="49">
        <v>0</v>
      </c>
    </row>
    <row r="354" spans="1:13" x14ac:dyDescent="0.2">
      <c r="A354" s="49" t="s">
        <v>242</v>
      </c>
      <c r="B354" s="49">
        <v>22</v>
      </c>
      <c r="C354" s="66">
        <v>0.10100000000000001</v>
      </c>
      <c r="D354" s="49">
        <v>14</v>
      </c>
      <c r="E354" s="49">
        <v>0</v>
      </c>
      <c r="F354" s="49">
        <v>3.07</v>
      </c>
      <c r="G354" s="49">
        <v>15662000</v>
      </c>
      <c r="H354" s="67">
        <v>3232000</v>
      </c>
      <c r="I354" s="67">
        <v>12772000</v>
      </c>
      <c r="J354" s="67">
        <v>4715000</v>
      </c>
      <c r="K354" s="68">
        <f t="shared" si="2"/>
        <v>0.68547189819724286</v>
      </c>
      <c r="L354" s="66">
        <f t="shared" si="3"/>
        <v>0.36916692765424364</v>
      </c>
      <c r="M354" s="49">
        <v>0</v>
      </c>
    </row>
    <row r="355" spans="1:13" x14ac:dyDescent="0.2">
      <c r="A355" s="49" t="s">
        <v>242</v>
      </c>
      <c r="B355" s="49">
        <v>23</v>
      </c>
      <c r="C355" s="66">
        <v>0.10199999999999999</v>
      </c>
      <c r="D355" s="49">
        <v>14.1</v>
      </c>
      <c r="E355" s="49">
        <v>0</v>
      </c>
      <c r="F355" s="49">
        <v>-0.53</v>
      </c>
      <c r="G355" s="49">
        <v>14037000</v>
      </c>
      <c r="H355" s="67">
        <v>3247000</v>
      </c>
      <c r="I355" s="67">
        <v>13615000</v>
      </c>
      <c r="J355" s="67">
        <v>4328000</v>
      </c>
      <c r="K355" s="68">
        <f t="shared" si="2"/>
        <v>0.7502310536044362</v>
      </c>
      <c r="L355" s="66">
        <f t="shared" si="3"/>
        <v>0.31788468600807934</v>
      </c>
      <c r="M355" s="49">
        <v>0</v>
      </c>
    </row>
    <row r="356" spans="1:13" x14ac:dyDescent="0.2">
      <c r="A356" s="49" t="s">
        <v>244</v>
      </c>
      <c r="B356" s="49">
        <v>19</v>
      </c>
      <c r="C356" s="66">
        <v>8.5000000000000006E-2</v>
      </c>
      <c r="D356" s="49">
        <v>3</v>
      </c>
      <c r="E356" s="49">
        <v>0</v>
      </c>
      <c r="F356" s="49">
        <v>11.4</v>
      </c>
      <c r="G356" s="49">
        <v>7919000</v>
      </c>
      <c r="H356" s="67">
        <v>781000</v>
      </c>
      <c r="I356" s="67">
        <v>6134000</v>
      </c>
      <c r="J356" s="67">
        <v>2966000</v>
      </c>
      <c r="K356" s="68">
        <f t="shared" si="2"/>
        <v>0.26331759946055294</v>
      </c>
      <c r="L356" s="66">
        <f t="shared" si="3"/>
        <v>0.48353439843495272</v>
      </c>
      <c r="M356" s="49">
        <v>0</v>
      </c>
    </row>
    <row r="357" spans="1:13" x14ac:dyDescent="0.2">
      <c r="A357" s="49" t="s">
        <v>244</v>
      </c>
      <c r="B357" s="49">
        <v>20</v>
      </c>
      <c r="C357" s="66">
        <v>9.5299999999999996E-2</v>
      </c>
      <c r="D357" s="49">
        <v>0.5</v>
      </c>
      <c r="E357" s="49">
        <v>0</v>
      </c>
      <c r="F357" s="49">
        <v>11.41</v>
      </c>
      <c r="G357" s="49">
        <v>9359000</v>
      </c>
      <c r="H357" s="67">
        <v>781000</v>
      </c>
      <c r="I357" s="67">
        <v>8684000</v>
      </c>
      <c r="J357" s="67">
        <v>3699000</v>
      </c>
      <c r="K357" s="68">
        <f t="shared" si="2"/>
        <v>0.21113814544471479</v>
      </c>
      <c r="L357" s="66">
        <f t="shared" si="3"/>
        <v>0.42595578074619989</v>
      </c>
      <c r="M357" s="49">
        <v>0</v>
      </c>
    </row>
    <row r="358" spans="1:13" x14ac:dyDescent="0.2">
      <c r="A358" s="49" t="s">
        <v>244</v>
      </c>
      <c r="B358" s="49">
        <v>21</v>
      </c>
      <c r="C358" s="66">
        <v>0.10100000000000001</v>
      </c>
      <c r="D358" s="49">
        <v>3.4</v>
      </c>
      <c r="E358" s="49">
        <v>0</v>
      </c>
      <c r="F358" s="49">
        <v>13.03</v>
      </c>
      <c r="G358" s="49">
        <v>11661000</v>
      </c>
      <c r="H358" s="67">
        <v>1924000</v>
      </c>
      <c r="I358" s="67">
        <v>10055000</v>
      </c>
      <c r="J358" s="67">
        <v>4768000</v>
      </c>
      <c r="K358" s="68">
        <f t="shared" si="2"/>
        <v>0.40352348993288589</v>
      </c>
      <c r="L358" s="66">
        <f t="shared" si="3"/>
        <v>0.47419194430631528</v>
      </c>
      <c r="M358" s="49">
        <v>0</v>
      </c>
    </row>
    <row r="359" spans="1:13" x14ac:dyDescent="0.2">
      <c r="A359" s="49" t="s">
        <v>244</v>
      </c>
      <c r="B359" s="49">
        <v>22</v>
      </c>
      <c r="C359" s="66">
        <v>0.121</v>
      </c>
      <c r="D359" s="49">
        <v>14</v>
      </c>
      <c r="E359" s="49">
        <v>0</v>
      </c>
      <c r="F359" s="49">
        <v>9.0399999999999991</v>
      </c>
      <c r="G359" s="49">
        <v>10815000</v>
      </c>
      <c r="H359" s="67">
        <v>2163000</v>
      </c>
      <c r="I359" s="67">
        <v>10007000</v>
      </c>
      <c r="J359" s="67">
        <v>5392000</v>
      </c>
      <c r="K359" s="68">
        <f t="shared" si="2"/>
        <v>0.40114985163204747</v>
      </c>
      <c r="L359" s="66">
        <f t="shared" si="3"/>
        <v>0.53882282402318382</v>
      </c>
      <c r="M359" s="49">
        <v>0</v>
      </c>
    </row>
    <row r="360" spans="1:13" x14ac:dyDescent="0.2">
      <c r="A360" s="49" t="s">
        <v>244</v>
      </c>
      <c r="B360" s="49">
        <v>23</v>
      </c>
      <c r="C360" s="66">
        <v>0.127</v>
      </c>
      <c r="D360" s="49">
        <v>14.1</v>
      </c>
      <c r="E360" s="49">
        <v>0</v>
      </c>
      <c r="F360" s="49">
        <v>7.19</v>
      </c>
      <c r="G360" s="49">
        <v>9556000</v>
      </c>
      <c r="H360" s="67">
        <v>2140000</v>
      </c>
      <c r="I360" s="67">
        <v>9300000</v>
      </c>
      <c r="J360" s="67">
        <v>5171000</v>
      </c>
      <c r="K360" s="68">
        <f t="shared" si="2"/>
        <v>0.41384645136337267</v>
      </c>
      <c r="L360" s="66">
        <f t="shared" si="3"/>
        <v>0.55602150537634409</v>
      </c>
      <c r="M360" s="49">
        <v>0</v>
      </c>
    </row>
    <row r="361" spans="1:13" x14ac:dyDescent="0.2">
      <c r="A361" s="49" t="s">
        <v>246</v>
      </c>
      <c r="B361" s="49">
        <v>19</v>
      </c>
      <c r="C361" s="66">
        <v>9.4E-2</v>
      </c>
      <c r="D361" s="49">
        <v>3</v>
      </c>
      <c r="E361" s="49">
        <v>0</v>
      </c>
      <c r="F361" s="49">
        <v>22.33</v>
      </c>
      <c r="G361" s="49">
        <v>2003062</v>
      </c>
      <c r="H361" s="67">
        <v>429193</v>
      </c>
      <c r="I361" s="67">
        <f>1.156*(10^8)</f>
        <v>115599999.99999999</v>
      </c>
      <c r="J361" s="67">
        <v>3057782</v>
      </c>
      <c r="K361" s="68">
        <f t="shared" si="2"/>
        <v>0.1403608890365631</v>
      </c>
      <c r="L361" s="66">
        <f t="shared" si="3"/>
        <v>2.6451401384083049E-2</v>
      </c>
      <c r="M361" s="49">
        <v>0</v>
      </c>
    </row>
    <row r="362" spans="1:13" x14ac:dyDescent="0.2">
      <c r="A362" s="49" t="s">
        <v>246</v>
      </c>
      <c r="B362" s="49">
        <v>20</v>
      </c>
      <c r="C362" s="66">
        <v>8.6400000000000005E-2</v>
      </c>
      <c r="D362" s="49">
        <v>0.5</v>
      </c>
      <c r="E362" s="49">
        <v>0</v>
      </c>
      <c r="F362" s="49" t="s">
        <v>436</v>
      </c>
      <c r="G362" s="49">
        <v>3465175</v>
      </c>
      <c r="H362" s="67">
        <v>408314</v>
      </c>
      <c r="I362" s="67">
        <f>1.68*(10^8)</f>
        <v>168000000</v>
      </c>
      <c r="J362" s="67">
        <v>4211729</v>
      </c>
      <c r="K362" s="68">
        <f t="shared" si="2"/>
        <v>9.6946883334611517E-2</v>
      </c>
      <c r="L362" s="66">
        <f t="shared" si="3"/>
        <v>2.5069815476190475E-2</v>
      </c>
      <c r="M362" s="49">
        <v>0</v>
      </c>
    </row>
    <row r="363" spans="1:13" x14ac:dyDescent="0.2">
      <c r="A363" s="49" t="s">
        <v>246</v>
      </c>
      <c r="B363" s="49">
        <v>21</v>
      </c>
      <c r="C363" s="66">
        <v>9.4E-2</v>
      </c>
      <c r="D363" s="49">
        <v>3.4</v>
      </c>
      <c r="E363" s="49">
        <v>0</v>
      </c>
      <c r="F363" s="49" t="s">
        <v>437</v>
      </c>
      <c r="G363" s="49">
        <v>4603278</v>
      </c>
      <c r="H363" s="67">
        <v>422620</v>
      </c>
      <c r="I363" s="67">
        <f>2.325*(10^8)</f>
        <v>232500000.00000003</v>
      </c>
      <c r="J363" s="67">
        <v>5990101</v>
      </c>
      <c r="K363" s="68">
        <f t="shared" si="2"/>
        <v>7.0553067469146177E-2</v>
      </c>
      <c r="L363" s="66">
        <f t="shared" si="3"/>
        <v>2.57638752688172E-2</v>
      </c>
      <c r="M363" s="49">
        <v>0</v>
      </c>
    </row>
    <row r="364" spans="1:13" x14ac:dyDescent="0.2">
      <c r="A364" s="49" t="s">
        <v>246</v>
      </c>
      <c r="B364" s="49">
        <v>22</v>
      </c>
      <c r="C364" s="66">
        <v>9.4E-2</v>
      </c>
      <c r="D364" s="49">
        <v>14</v>
      </c>
      <c r="E364" s="49">
        <v>0</v>
      </c>
      <c r="F364" s="49" t="s">
        <v>438</v>
      </c>
      <c r="G364" s="49">
        <v>4438500</v>
      </c>
      <c r="H364" s="67">
        <v>429000</v>
      </c>
      <c r="I364" s="67">
        <f>2.069*(10^8)</f>
        <v>206900000</v>
      </c>
      <c r="J364" s="67">
        <v>6050100</v>
      </c>
      <c r="K364" s="68">
        <f t="shared" si="2"/>
        <v>7.0907918877373924E-2</v>
      </c>
      <c r="L364" s="66">
        <f t="shared" si="3"/>
        <v>2.9241662638956018E-2</v>
      </c>
      <c r="M364" s="49">
        <v>0</v>
      </c>
    </row>
    <row r="365" spans="1:13" x14ac:dyDescent="0.2">
      <c r="A365" s="49" t="s">
        <v>246</v>
      </c>
      <c r="B365" s="49">
        <v>23</v>
      </c>
      <c r="C365" s="66">
        <v>0.1353</v>
      </c>
      <c r="D365" s="49">
        <v>14.1</v>
      </c>
      <c r="E365" s="49">
        <v>0</v>
      </c>
      <c r="F365" s="49" t="s">
        <v>439</v>
      </c>
      <c r="G365" s="49">
        <v>5818400</v>
      </c>
      <c r="H365" s="67">
        <v>414900</v>
      </c>
      <c r="I365" s="67">
        <f>2.222*(10^8)</f>
        <v>222200000</v>
      </c>
      <c r="J365" s="67">
        <v>7702400</v>
      </c>
      <c r="K365" s="68">
        <f t="shared" si="2"/>
        <v>5.3866327378479434E-2</v>
      </c>
      <c r="L365" s="66">
        <f t="shared" si="3"/>
        <v>3.4664266426642665E-2</v>
      </c>
      <c r="M365" s="49">
        <v>0</v>
      </c>
    </row>
    <row r="366" spans="1:13" x14ac:dyDescent="0.2">
      <c r="A366" s="49" t="s">
        <v>248</v>
      </c>
      <c r="B366" s="49">
        <v>19</v>
      </c>
      <c r="C366" s="66">
        <v>0.1</v>
      </c>
      <c r="D366" s="49">
        <v>3</v>
      </c>
      <c r="E366" s="49">
        <v>0</v>
      </c>
      <c r="F366" s="49">
        <v>11.28</v>
      </c>
      <c r="G366" s="49">
        <v>3297200</v>
      </c>
      <c r="H366" s="67">
        <v>141000</v>
      </c>
      <c r="I366" s="67">
        <v>1724700</v>
      </c>
      <c r="J366" s="67">
        <v>1066500</v>
      </c>
      <c r="K366" s="68">
        <f t="shared" si="2"/>
        <v>0.13220815752461323</v>
      </c>
      <c r="L366" s="66">
        <f t="shared" si="3"/>
        <v>0.61836841189772129</v>
      </c>
      <c r="M366" s="49">
        <v>0</v>
      </c>
    </row>
    <row r="367" spans="1:13" x14ac:dyDescent="0.2">
      <c r="A367" s="49" t="s">
        <v>248</v>
      </c>
      <c r="B367" s="49">
        <v>20</v>
      </c>
      <c r="C367" s="66">
        <v>0.1</v>
      </c>
      <c r="D367" s="49">
        <v>0.5</v>
      </c>
      <c r="E367" s="49">
        <v>0</v>
      </c>
      <c r="F367" s="49">
        <v>12.46</v>
      </c>
      <c r="G367" s="49">
        <v>3298200</v>
      </c>
      <c r="H367" s="67">
        <v>145800</v>
      </c>
      <c r="I367" s="67">
        <v>1991700</v>
      </c>
      <c r="J367" s="67">
        <v>1365900</v>
      </c>
      <c r="K367" s="68">
        <f t="shared" si="2"/>
        <v>0.1067428069404788</v>
      </c>
      <c r="L367" s="66">
        <f t="shared" si="3"/>
        <v>0.68579605362253349</v>
      </c>
      <c r="M367" s="49">
        <v>0</v>
      </c>
    </row>
    <row r="368" spans="1:13" x14ac:dyDescent="0.2">
      <c r="A368" s="49" t="s">
        <v>248</v>
      </c>
      <c r="B368" s="49">
        <v>21</v>
      </c>
      <c r="C368" s="66">
        <v>0.1</v>
      </c>
      <c r="D368" s="49">
        <v>3.4</v>
      </c>
      <c r="E368" s="49">
        <v>0</v>
      </c>
      <c r="F368" s="49">
        <v>15.34</v>
      </c>
      <c r="G368" s="49">
        <v>3777900</v>
      </c>
      <c r="H368" s="67">
        <v>147100</v>
      </c>
      <c r="I368" s="67">
        <v>2053900</v>
      </c>
      <c r="J368" s="67">
        <v>1373900</v>
      </c>
      <c r="K368" s="68">
        <f t="shared" si="2"/>
        <v>0.10706747215954582</v>
      </c>
      <c r="L368" s="66">
        <f t="shared" si="3"/>
        <v>0.66892253761137344</v>
      </c>
      <c r="M368" s="49">
        <v>0</v>
      </c>
    </row>
    <row r="369" spans="1:13" x14ac:dyDescent="0.2">
      <c r="A369" s="49" t="s">
        <v>248</v>
      </c>
      <c r="B369" s="49">
        <v>22</v>
      </c>
      <c r="C369" s="66">
        <v>0.09</v>
      </c>
      <c r="D369" s="49">
        <v>14</v>
      </c>
      <c r="E369" s="49">
        <v>0</v>
      </c>
      <c r="F369" s="49">
        <v>16.04</v>
      </c>
      <c r="G369" s="49">
        <v>4733500</v>
      </c>
      <c r="H369" s="67">
        <v>228700</v>
      </c>
      <c r="I369" s="67">
        <v>2804000</v>
      </c>
      <c r="J369" s="67">
        <v>1589600</v>
      </c>
      <c r="K369" s="68">
        <f t="shared" si="2"/>
        <v>0.14387267237040766</v>
      </c>
      <c r="L369" s="66">
        <f t="shared" si="3"/>
        <v>0.56690442225392301</v>
      </c>
      <c r="M369" s="49">
        <v>0</v>
      </c>
    </row>
    <row r="370" spans="1:13" x14ac:dyDescent="0.2">
      <c r="A370" s="49" t="s">
        <v>248</v>
      </c>
      <c r="B370" s="49">
        <v>23</v>
      </c>
      <c r="C370" s="66">
        <v>0.1</v>
      </c>
      <c r="D370" s="49">
        <v>14.1</v>
      </c>
      <c r="E370" s="49">
        <v>0</v>
      </c>
      <c r="F370" s="49">
        <v>15.28</v>
      </c>
      <c r="G370" s="49">
        <v>5145300</v>
      </c>
      <c r="H370" s="67">
        <v>255000</v>
      </c>
      <c r="I370" s="67">
        <v>2932000</v>
      </c>
      <c r="J370" s="67">
        <v>1991200</v>
      </c>
      <c r="K370" s="68">
        <f t="shared" si="2"/>
        <v>0.12806347930895942</v>
      </c>
      <c r="L370" s="66">
        <f t="shared" si="3"/>
        <v>0.67912687585266029</v>
      </c>
      <c r="M370" s="49">
        <v>0</v>
      </c>
    </row>
    <row r="371" spans="1:13" x14ac:dyDescent="0.2">
      <c r="A371" s="49" t="s">
        <v>250</v>
      </c>
      <c r="B371" s="49">
        <v>19</v>
      </c>
      <c r="C371" s="66">
        <v>8.2000000000000003E-2</v>
      </c>
      <c r="D371" s="49">
        <v>3</v>
      </c>
      <c r="E371" s="49">
        <v>15000</v>
      </c>
      <c r="F371" s="49">
        <v>5</v>
      </c>
      <c r="G371" s="49">
        <v>54288000</v>
      </c>
      <c r="H371" s="67">
        <v>1836000</v>
      </c>
      <c r="I371" s="67">
        <v>38729000</v>
      </c>
      <c r="J371" s="67">
        <v>12264000</v>
      </c>
      <c r="K371" s="68">
        <f t="shared" si="2"/>
        <v>0.149706457925636</v>
      </c>
      <c r="L371" s="66">
        <f t="shared" si="3"/>
        <v>0.31666193291848488</v>
      </c>
      <c r="M371" s="49">
        <v>1</v>
      </c>
    </row>
    <row r="372" spans="1:13" x14ac:dyDescent="0.2">
      <c r="A372" s="49" t="s">
        <v>250</v>
      </c>
      <c r="B372" s="49">
        <v>20</v>
      </c>
      <c r="C372" s="66">
        <v>7.3999999999999996E-2</v>
      </c>
      <c r="D372" s="49">
        <v>0.5</v>
      </c>
      <c r="E372" s="49">
        <v>20000</v>
      </c>
      <c r="F372" s="49">
        <v>7.11</v>
      </c>
      <c r="G372" s="49">
        <v>61033000</v>
      </c>
      <c r="H372" s="67">
        <v>3068000</v>
      </c>
      <c r="I372" s="67">
        <v>42164000</v>
      </c>
      <c r="J372" s="67">
        <v>12442000</v>
      </c>
      <c r="K372" s="68">
        <f t="shared" si="2"/>
        <v>0.24658415045812571</v>
      </c>
      <c r="L372" s="66">
        <f t="shared" si="3"/>
        <v>0.29508585523195141</v>
      </c>
      <c r="M372" s="49">
        <v>1</v>
      </c>
    </row>
    <row r="373" spans="1:13" x14ac:dyDescent="0.2">
      <c r="A373" s="49" t="s">
        <v>250</v>
      </c>
      <c r="B373" s="49">
        <v>21</v>
      </c>
      <c r="C373" s="66">
        <v>7.8E-2</v>
      </c>
      <c r="D373" s="49">
        <v>3.4</v>
      </c>
      <c r="E373" s="49">
        <v>20000</v>
      </c>
      <c r="F373" s="49">
        <v>5.21</v>
      </c>
      <c r="G373" s="49">
        <v>59314000</v>
      </c>
      <c r="H373" s="67">
        <v>3112000</v>
      </c>
      <c r="I373" s="67">
        <v>47170000</v>
      </c>
      <c r="J373" s="67">
        <v>13681000</v>
      </c>
      <c r="K373" s="68">
        <f t="shared" si="2"/>
        <v>0.22746875228418975</v>
      </c>
      <c r="L373" s="66">
        <f t="shared" si="3"/>
        <v>0.29003603985584059</v>
      </c>
      <c r="M373" s="49">
        <v>1</v>
      </c>
    </row>
    <row r="374" spans="1:13" x14ac:dyDescent="0.2">
      <c r="A374" s="49" t="s">
        <v>250</v>
      </c>
      <c r="B374" s="49">
        <v>22</v>
      </c>
      <c r="C374" s="66">
        <v>8.5999999999999993E-2</v>
      </c>
      <c r="D374" s="49">
        <v>14</v>
      </c>
      <c r="E374" s="49">
        <v>1000</v>
      </c>
      <c r="F374" s="49">
        <v>4.29</v>
      </c>
      <c r="G374" s="49">
        <v>62212000</v>
      </c>
      <c r="H374" s="67">
        <v>3309000</v>
      </c>
      <c r="I374" s="67">
        <v>51011000</v>
      </c>
      <c r="J374" s="67">
        <v>13768000</v>
      </c>
      <c r="K374" s="68">
        <f t="shared" si="2"/>
        <v>0.24033991865194654</v>
      </c>
      <c r="L374" s="66">
        <f t="shared" si="3"/>
        <v>0.26990257003391427</v>
      </c>
      <c r="M374" s="49">
        <v>1</v>
      </c>
    </row>
    <row r="375" spans="1:13" x14ac:dyDescent="0.2">
      <c r="A375" s="49" t="s">
        <v>250</v>
      </c>
      <c r="B375" s="49">
        <v>23</v>
      </c>
      <c r="C375" s="66">
        <v>8.3000000000000004E-2</v>
      </c>
      <c r="D375" s="49">
        <v>14.1</v>
      </c>
      <c r="E375" s="49">
        <v>123000</v>
      </c>
      <c r="F375" s="49">
        <v>5.15</v>
      </c>
      <c r="G375" s="49">
        <v>61957000</v>
      </c>
      <c r="H375" s="67">
        <v>3162000</v>
      </c>
      <c r="I375" s="67">
        <v>49176000</v>
      </c>
      <c r="J375" s="67">
        <v>14453000</v>
      </c>
      <c r="K375" s="68">
        <f t="shared" si="2"/>
        <v>0.21877810835120737</v>
      </c>
      <c r="L375" s="66">
        <f t="shared" si="3"/>
        <v>0.29390353017732229</v>
      </c>
      <c r="M375" s="49">
        <v>1</v>
      </c>
    </row>
    <row r="376" spans="1:13" x14ac:dyDescent="0.2">
      <c r="A376" s="49" t="s">
        <v>252</v>
      </c>
      <c r="B376" s="49">
        <v>19</v>
      </c>
      <c r="C376" s="66">
        <v>9.7000000000000003E-2</v>
      </c>
      <c r="D376" s="49">
        <v>3</v>
      </c>
      <c r="E376" s="49">
        <v>0</v>
      </c>
      <c r="F376" s="49">
        <v>3.53</v>
      </c>
      <c r="G376" s="49">
        <v>3407864</v>
      </c>
      <c r="H376" s="67">
        <v>516421</v>
      </c>
      <c r="I376" s="67">
        <v>2876710</v>
      </c>
      <c r="J376" s="67">
        <v>524211</v>
      </c>
      <c r="K376" s="68">
        <f t="shared" si="2"/>
        <v>0.98513957166102961</v>
      </c>
      <c r="L376" s="66">
        <f t="shared" si="3"/>
        <v>0.18222587608761398</v>
      </c>
      <c r="M376" s="49">
        <v>0</v>
      </c>
    </row>
    <row r="377" spans="1:13" x14ac:dyDescent="0.2">
      <c r="A377" s="49" t="s">
        <v>252</v>
      </c>
      <c r="B377" s="49">
        <v>20</v>
      </c>
      <c r="C377" s="66">
        <v>0.10199999999999999</v>
      </c>
      <c r="D377" s="49">
        <v>0.5</v>
      </c>
      <c r="E377" s="49">
        <v>0</v>
      </c>
      <c r="F377" s="49">
        <v>5.19</v>
      </c>
      <c r="G377" s="49">
        <v>3633134</v>
      </c>
      <c r="H377" s="67">
        <v>551670</v>
      </c>
      <c r="I377" s="67">
        <v>2923936</v>
      </c>
      <c r="J377" s="67">
        <v>601949</v>
      </c>
      <c r="K377" s="68">
        <f t="shared" si="2"/>
        <v>0.91647299023671436</v>
      </c>
      <c r="L377" s="66">
        <f t="shared" si="3"/>
        <v>0.20586941711446488</v>
      </c>
      <c r="M377" s="49">
        <v>0</v>
      </c>
    </row>
    <row r="378" spans="1:13" x14ac:dyDescent="0.2">
      <c r="A378" s="49" t="s">
        <v>252</v>
      </c>
      <c r="B378" s="49">
        <v>21</v>
      </c>
      <c r="C378" s="66">
        <v>0.10199999999999999</v>
      </c>
      <c r="D378" s="49">
        <v>3.4</v>
      </c>
      <c r="E378" s="49">
        <v>0</v>
      </c>
      <c r="F378" s="49">
        <v>5.27</v>
      </c>
      <c r="G378" s="49">
        <v>3524953</v>
      </c>
      <c r="H378" s="67">
        <v>820708</v>
      </c>
      <c r="I378" s="67">
        <v>3394972</v>
      </c>
      <c r="J378" s="67">
        <v>710611</v>
      </c>
      <c r="K378" s="68">
        <f t="shared" si="2"/>
        <v>1.1549328676308135</v>
      </c>
      <c r="L378" s="66">
        <f t="shared" si="3"/>
        <v>0.2093127719462782</v>
      </c>
      <c r="M378" s="49">
        <v>0</v>
      </c>
    </row>
    <row r="379" spans="1:13" x14ac:dyDescent="0.2">
      <c r="A379" s="49" t="s">
        <v>252</v>
      </c>
      <c r="B379" s="49">
        <v>22</v>
      </c>
      <c r="C379" s="66">
        <v>0.108</v>
      </c>
      <c r="D379" s="49">
        <v>14</v>
      </c>
      <c r="E379" s="49">
        <v>0</v>
      </c>
      <c r="F379" s="49">
        <v>6.09</v>
      </c>
      <c r="G379" s="49">
        <v>4756823</v>
      </c>
      <c r="H379" s="67">
        <v>983637</v>
      </c>
      <c r="I379" s="67">
        <v>4241872</v>
      </c>
      <c r="J379" s="67">
        <v>919533</v>
      </c>
      <c r="K379" s="68">
        <f t="shared" si="2"/>
        <v>1.0697136481235583</v>
      </c>
      <c r="L379" s="66">
        <f t="shared" si="3"/>
        <v>0.21677528223388165</v>
      </c>
      <c r="M379" s="49">
        <v>0</v>
      </c>
    </row>
    <row r="380" spans="1:13" x14ac:dyDescent="0.2">
      <c r="A380" s="49" t="s">
        <v>252</v>
      </c>
      <c r="B380" s="49">
        <v>23</v>
      </c>
      <c r="C380" s="66">
        <v>0.108</v>
      </c>
      <c r="D380" s="49">
        <v>14.1</v>
      </c>
      <c r="E380" s="49">
        <v>0</v>
      </c>
      <c r="F380" s="49">
        <v>5.33</v>
      </c>
      <c r="G380" s="49">
        <v>4847315</v>
      </c>
      <c r="H380" s="67">
        <v>983571</v>
      </c>
      <c r="I380" s="67">
        <v>4044448</v>
      </c>
      <c r="J380" s="67">
        <v>1008604</v>
      </c>
      <c r="K380" s="68">
        <f t="shared" si="2"/>
        <v>0.9751805465772494</v>
      </c>
      <c r="L380" s="66">
        <f t="shared" si="3"/>
        <v>0.24937989065504118</v>
      </c>
      <c r="M380" s="49">
        <v>0</v>
      </c>
    </row>
    <row r="381" spans="1:13" x14ac:dyDescent="0.2">
      <c r="A381" s="49" t="s">
        <v>254</v>
      </c>
      <c r="B381" s="49">
        <v>19</v>
      </c>
      <c r="C381" s="66">
        <v>0.1</v>
      </c>
      <c r="D381" s="49">
        <v>3</v>
      </c>
      <c r="E381" s="49">
        <v>0</v>
      </c>
      <c r="F381" s="49">
        <v>9.23</v>
      </c>
      <c r="G381" s="49">
        <v>35650000</v>
      </c>
      <c r="H381" s="67">
        <v>5355000</v>
      </c>
      <c r="I381" s="67">
        <v>59858000</v>
      </c>
      <c r="J381" s="67">
        <v>20535000</v>
      </c>
      <c r="K381" s="68">
        <f t="shared" si="2"/>
        <v>0.26077428780131484</v>
      </c>
      <c r="L381" s="66">
        <f t="shared" si="3"/>
        <v>0.34306191319456047</v>
      </c>
      <c r="M381" s="49">
        <v>0</v>
      </c>
    </row>
    <row r="382" spans="1:13" x14ac:dyDescent="0.2">
      <c r="A382" s="49" t="s">
        <v>254</v>
      </c>
      <c r="B382" s="49">
        <v>20</v>
      </c>
      <c r="C382" s="66">
        <v>0.1</v>
      </c>
      <c r="D382" s="49">
        <v>0.5</v>
      </c>
      <c r="E382" s="49">
        <v>0</v>
      </c>
      <c r="F382" s="49">
        <v>4.3600000000000003</v>
      </c>
      <c r="G382" s="49">
        <v>36722000</v>
      </c>
      <c r="H382" s="67">
        <v>5141000</v>
      </c>
      <c r="I382" s="67">
        <v>60568000</v>
      </c>
      <c r="J382" s="67">
        <v>21466000</v>
      </c>
      <c r="K382" s="68">
        <f t="shared" si="2"/>
        <v>0.23949501537314824</v>
      </c>
      <c r="L382" s="66">
        <f t="shared" si="3"/>
        <v>0.35441157046625282</v>
      </c>
      <c r="M382" s="49">
        <v>0</v>
      </c>
    </row>
    <row r="383" spans="1:13" x14ac:dyDescent="0.2">
      <c r="A383" s="49" t="s">
        <v>254</v>
      </c>
      <c r="B383" s="49">
        <v>21</v>
      </c>
      <c r="C383" s="66">
        <v>0.1</v>
      </c>
      <c r="D383" s="49">
        <v>3.4</v>
      </c>
      <c r="E383" s="49">
        <v>0</v>
      </c>
      <c r="F383" s="49">
        <v>8.09</v>
      </c>
      <c r="G383" s="49">
        <v>39300000</v>
      </c>
      <c r="H383" s="67">
        <v>5253000</v>
      </c>
      <c r="I383" s="67">
        <v>65039000</v>
      </c>
      <c r="J383" s="67">
        <v>22976000</v>
      </c>
      <c r="K383" s="68">
        <f t="shared" si="2"/>
        <v>0.22862987465181059</v>
      </c>
      <c r="L383" s="66">
        <f t="shared" si="3"/>
        <v>0.35326496409846397</v>
      </c>
      <c r="M383" s="49">
        <v>0</v>
      </c>
    </row>
    <row r="384" spans="1:13" x14ac:dyDescent="0.2">
      <c r="A384" s="49" t="s">
        <v>254</v>
      </c>
      <c r="B384" s="49">
        <v>22</v>
      </c>
      <c r="C384" s="66">
        <v>0.1</v>
      </c>
      <c r="D384" s="49">
        <v>14</v>
      </c>
      <c r="E384" s="49">
        <v>0</v>
      </c>
      <c r="F384" s="49">
        <v>8.26</v>
      </c>
      <c r="G384" s="49">
        <v>42237000</v>
      </c>
      <c r="H384" s="67">
        <v>5384000</v>
      </c>
      <c r="I384" s="67">
        <v>72365000</v>
      </c>
      <c r="J384" s="67">
        <v>29486000</v>
      </c>
      <c r="K384" s="68">
        <f t="shared" si="2"/>
        <v>0.18259512989215221</v>
      </c>
      <c r="L384" s="66">
        <f t="shared" si="3"/>
        <v>0.40746217093898984</v>
      </c>
      <c r="M384" s="49">
        <v>0</v>
      </c>
    </row>
    <row r="385" spans="1:13" x14ac:dyDescent="0.2">
      <c r="A385" s="49" t="s">
        <v>254</v>
      </c>
      <c r="B385" s="49">
        <v>23</v>
      </c>
      <c r="C385" s="66">
        <v>0.1</v>
      </c>
      <c r="D385" s="49">
        <v>14.1</v>
      </c>
      <c r="E385" s="49">
        <v>0</v>
      </c>
      <c r="F385" s="49">
        <v>10.19</v>
      </c>
      <c r="G385" s="49">
        <v>52200000</v>
      </c>
      <c r="H385" s="67">
        <v>5424000</v>
      </c>
      <c r="I385" s="67">
        <v>82759000</v>
      </c>
      <c r="J385" s="67">
        <v>32035000</v>
      </c>
      <c r="K385" s="68">
        <f t="shared" si="2"/>
        <v>0.16931481192445763</v>
      </c>
      <c r="L385" s="66">
        <f t="shared" si="3"/>
        <v>0.3870878091808746</v>
      </c>
      <c r="M385" s="49">
        <v>0</v>
      </c>
    </row>
    <row r="386" spans="1:13" x14ac:dyDescent="0.2">
      <c r="A386" s="49" t="s">
        <v>260</v>
      </c>
      <c r="B386" s="49">
        <v>19</v>
      </c>
      <c r="C386" s="66">
        <v>0.106</v>
      </c>
      <c r="D386" s="49">
        <v>3</v>
      </c>
      <c r="E386" s="49">
        <v>0</v>
      </c>
      <c r="F386" s="49">
        <v>18.41</v>
      </c>
      <c r="G386" s="49">
        <v>1715482</v>
      </c>
      <c r="H386" s="67">
        <v>49197</v>
      </c>
      <c r="I386" s="67">
        <v>1511847</v>
      </c>
      <c r="J386" s="67">
        <v>817213</v>
      </c>
      <c r="K386" s="68">
        <f t="shared" si="2"/>
        <v>6.0200951281979116E-2</v>
      </c>
      <c r="L386" s="66">
        <f t="shared" si="3"/>
        <v>0.54053948580775701</v>
      </c>
      <c r="M386" s="49">
        <v>0</v>
      </c>
    </row>
    <row r="387" spans="1:13" x14ac:dyDescent="0.2">
      <c r="A387" s="49" t="s">
        <v>260</v>
      </c>
      <c r="B387" s="49">
        <v>20</v>
      </c>
      <c r="C387" s="66">
        <v>0.10100000000000001</v>
      </c>
      <c r="D387" s="49">
        <v>0.5</v>
      </c>
      <c r="E387" s="49">
        <v>7443</v>
      </c>
      <c r="F387" s="49">
        <v>22.28</v>
      </c>
      <c r="G387" s="49">
        <v>1683841</v>
      </c>
      <c r="H387" s="67">
        <v>46280</v>
      </c>
      <c r="I387" s="67">
        <v>1651952</v>
      </c>
      <c r="J387" s="67">
        <v>895623</v>
      </c>
      <c r="K387" s="68">
        <f t="shared" si="2"/>
        <v>5.1673527812483598E-2</v>
      </c>
      <c r="L387" s="66">
        <f t="shared" si="3"/>
        <v>0.54216042596879332</v>
      </c>
      <c r="M387" s="49">
        <v>1</v>
      </c>
    </row>
    <row r="388" spans="1:13" x14ac:dyDescent="0.2">
      <c r="A388" s="49" t="s">
        <v>260</v>
      </c>
      <c r="B388" s="49">
        <v>21</v>
      </c>
      <c r="C388" s="66">
        <v>0.104</v>
      </c>
      <c r="D388" s="49">
        <v>3.4</v>
      </c>
      <c r="E388" s="49">
        <v>0</v>
      </c>
      <c r="F388" s="49">
        <v>20.32</v>
      </c>
      <c r="G388" s="49">
        <v>1994708</v>
      </c>
      <c r="H388" s="67">
        <v>49915</v>
      </c>
      <c r="I388" s="67">
        <v>2191911</v>
      </c>
      <c r="J388" s="67">
        <v>1080737</v>
      </c>
      <c r="K388" s="68">
        <f t="shared" si="2"/>
        <v>4.6186074872980196E-2</v>
      </c>
      <c r="L388" s="66">
        <f t="shared" si="3"/>
        <v>0.49305697174748425</v>
      </c>
      <c r="M388" s="49">
        <v>0</v>
      </c>
    </row>
    <row r="389" spans="1:13" x14ac:dyDescent="0.2">
      <c r="A389" s="49" t="s">
        <v>260</v>
      </c>
      <c r="B389" s="49">
        <v>22</v>
      </c>
      <c r="C389" s="66">
        <v>0.109</v>
      </c>
      <c r="D389" s="49">
        <v>14</v>
      </c>
      <c r="E389" s="49">
        <v>0</v>
      </c>
      <c r="F389" s="49">
        <v>20.48</v>
      </c>
      <c r="G389" s="49">
        <v>2407993</v>
      </c>
      <c r="H389" s="67">
        <v>51664</v>
      </c>
      <c r="I389" s="67">
        <v>2736667</v>
      </c>
      <c r="J389" s="67">
        <v>1296669</v>
      </c>
      <c r="K389" s="68">
        <f t="shared" si="2"/>
        <v>3.9843630101436836E-2</v>
      </c>
      <c r="L389" s="66">
        <f t="shared" si="3"/>
        <v>0.47381321878036314</v>
      </c>
      <c r="M389" s="49">
        <v>0</v>
      </c>
    </row>
    <row r="390" spans="1:13" x14ac:dyDescent="0.2">
      <c r="A390" s="49" t="s">
        <v>260</v>
      </c>
      <c r="B390" s="49">
        <v>23</v>
      </c>
      <c r="C390" s="66">
        <v>0.106</v>
      </c>
      <c r="D390" s="49">
        <v>14.1</v>
      </c>
      <c r="E390" s="49">
        <v>0</v>
      </c>
      <c r="F390" s="49">
        <v>19.16</v>
      </c>
      <c r="G390" s="49">
        <v>3040569</v>
      </c>
      <c r="H390" s="67">
        <v>49817</v>
      </c>
      <c r="I390" s="67">
        <v>3210938</v>
      </c>
      <c r="J390" s="67">
        <v>1569591</v>
      </c>
      <c r="K390" s="68">
        <f t="shared" si="2"/>
        <v>3.1738841519860908E-2</v>
      </c>
      <c r="L390" s="66">
        <f t="shared" si="3"/>
        <v>0.48882631804164389</v>
      </c>
      <c r="M390" s="49">
        <v>0</v>
      </c>
    </row>
    <row r="391" spans="1:13" x14ac:dyDescent="0.2">
      <c r="A391" s="49" t="s">
        <v>276</v>
      </c>
      <c r="B391" s="49">
        <v>19</v>
      </c>
      <c r="C391" s="66">
        <v>7.6999999999999999E-2</v>
      </c>
      <c r="D391" s="49">
        <v>3</v>
      </c>
      <c r="E391" s="49">
        <v>0</v>
      </c>
      <c r="F391" s="49">
        <v>3.22</v>
      </c>
      <c r="G391" s="49">
        <v>77770000</v>
      </c>
      <c r="H391" s="67">
        <v>31279000</v>
      </c>
      <c r="I391" s="67">
        <v>93978000</v>
      </c>
      <c r="J391" s="67">
        <v>60314000</v>
      </c>
      <c r="K391" s="68">
        <f t="shared" si="2"/>
        <v>0.51860264615180551</v>
      </c>
      <c r="L391" s="66">
        <f t="shared" si="3"/>
        <v>0.64178850369235352</v>
      </c>
      <c r="M391" s="49">
        <v>0</v>
      </c>
    </row>
    <row r="392" spans="1:13" x14ac:dyDescent="0.2">
      <c r="A392" s="49" t="s">
        <v>276</v>
      </c>
      <c r="B392" s="49">
        <v>20</v>
      </c>
      <c r="C392" s="66">
        <v>7.6999999999999999E-2</v>
      </c>
      <c r="D392" s="49">
        <v>0.5</v>
      </c>
      <c r="E392" s="49">
        <v>0</v>
      </c>
      <c r="F392" s="49">
        <v>3.16</v>
      </c>
      <c r="G392" s="49">
        <v>66165000</v>
      </c>
      <c r="H392" s="67">
        <v>27872000</v>
      </c>
      <c r="I392" s="67">
        <v>88601000</v>
      </c>
      <c r="J392" s="67">
        <v>53987000</v>
      </c>
      <c r="K392" s="68">
        <f t="shared" si="2"/>
        <v>0.51627243595680439</v>
      </c>
      <c r="L392" s="66">
        <f t="shared" si="3"/>
        <v>0.60932720849651811</v>
      </c>
      <c r="M392" s="49">
        <v>0</v>
      </c>
    </row>
    <row r="393" spans="1:13" x14ac:dyDescent="0.2">
      <c r="A393" s="49" t="s">
        <v>276</v>
      </c>
      <c r="B393" s="49">
        <v>21</v>
      </c>
      <c r="C393" s="66">
        <v>8.5999999999999993E-2</v>
      </c>
      <c r="D393" s="49">
        <v>3.4</v>
      </c>
      <c r="E393" s="49">
        <v>33291000</v>
      </c>
      <c r="F393" s="49">
        <v>22.23</v>
      </c>
      <c r="G393" s="49">
        <v>96853000</v>
      </c>
      <c r="H393" s="67">
        <v>30375000</v>
      </c>
      <c r="I393" s="67">
        <f>1.12*(10^8)</f>
        <v>112000000.00000001</v>
      </c>
      <c r="J393" s="67">
        <v>73477000</v>
      </c>
      <c r="K393" s="68">
        <f t="shared" si="2"/>
        <v>0.41339466771915023</v>
      </c>
      <c r="L393" s="66">
        <f t="shared" si="3"/>
        <v>0.65604464285714281</v>
      </c>
      <c r="M393" s="49">
        <v>1</v>
      </c>
    </row>
    <row r="394" spans="1:13" x14ac:dyDescent="0.2">
      <c r="A394" s="49" t="s">
        <v>276</v>
      </c>
      <c r="B394" s="49">
        <v>22</v>
      </c>
      <c r="C394" s="66">
        <v>0.11600000000000001</v>
      </c>
      <c r="D394" s="49">
        <v>14</v>
      </c>
      <c r="E394" s="49">
        <v>0</v>
      </c>
      <c r="F394" s="49">
        <v>-0.83</v>
      </c>
      <c r="G394" s="49" t="s">
        <v>440</v>
      </c>
      <c r="H394" s="67">
        <v>349000</v>
      </c>
      <c r="I394" s="67">
        <f>1.097*(10^8)</f>
        <v>109700000</v>
      </c>
      <c r="J394" s="67">
        <v>67124000</v>
      </c>
      <c r="K394" s="68">
        <f t="shared" si="2"/>
        <v>5.1993325785114116E-3</v>
      </c>
      <c r="L394" s="66">
        <f t="shared" si="3"/>
        <v>0.61188696444849588</v>
      </c>
      <c r="M394" s="49">
        <v>0</v>
      </c>
    </row>
    <row r="395" spans="1:13" x14ac:dyDescent="0.2">
      <c r="A395" s="49" t="s">
        <v>276</v>
      </c>
      <c r="B395" s="49">
        <v>23</v>
      </c>
      <c r="C395" s="66">
        <v>0.11600000000000001</v>
      </c>
      <c r="D395" s="49">
        <v>14.1</v>
      </c>
      <c r="E395" s="49">
        <v>0</v>
      </c>
      <c r="F395" s="49">
        <v>15.38</v>
      </c>
      <c r="G395" s="49" t="s">
        <v>441</v>
      </c>
      <c r="H395" s="67">
        <v>348000</v>
      </c>
      <c r="I395" s="67">
        <f>1.078*(10^8)</f>
        <v>107800000</v>
      </c>
      <c r="J395" s="67">
        <v>67871000</v>
      </c>
      <c r="K395" s="68">
        <f t="shared" si="2"/>
        <v>5.12737398889069E-3</v>
      </c>
      <c r="L395" s="66">
        <f t="shared" si="3"/>
        <v>0.62960111317254175</v>
      </c>
      <c r="M395" s="49">
        <v>0</v>
      </c>
    </row>
    <row r="396" spans="1:13" x14ac:dyDescent="0.2">
      <c r="A396" s="49" t="s">
        <v>282</v>
      </c>
      <c r="B396" s="49">
        <v>19</v>
      </c>
      <c r="C396" s="66">
        <v>6.7500000000000004E-2</v>
      </c>
      <c r="D396" s="49">
        <v>3</v>
      </c>
      <c r="E396" s="49">
        <v>0</v>
      </c>
      <c r="F396" s="49">
        <v>9.2100000000000009</v>
      </c>
      <c r="G396" s="49">
        <v>20646000</v>
      </c>
      <c r="H396" s="67">
        <v>7471000</v>
      </c>
      <c r="I396" s="67">
        <v>19303000</v>
      </c>
      <c r="J396" s="67">
        <v>7154000</v>
      </c>
      <c r="K396" s="68">
        <f t="shared" si="2"/>
        <v>1.0443108750349455</v>
      </c>
      <c r="L396" s="66">
        <f t="shared" si="3"/>
        <v>0.37061596643008859</v>
      </c>
      <c r="M396" s="49">
        <v>0</v>
      </c>
    </row>
    <row r="397" spans="1:13" x14ac:dyDescent="0.2">
      <c r="A397" s="49" t="s">
        <v>282</v>
      </c>
      <c r="B397" s="49">
        <v>20</v>
      </c>
      <c r="C397" s="66">
        <v>8.3500000000000005E-2</v>
      </c>
      <c r="D397" s="49">
        <v>0.5</v>
      </c>
      <c r="E397" s="49">
        <v>0</v>
      </c>
      <c r="F397" s="49">
        <v>8.2200000000000006</v>
      </c>
      <c r="G397" s="49">
        <v>20865000</v>
      </c>
      <c r="H397" s="67">
        <v>7593000</v>
      </c>
      <c r="I397" s="67">
        <v>19948000</v>
      </c>
      <c r="J397" s="67">
        <v>7548000</v>
      </c>
      <c r="K397" s="68">
        <f t="shared" si="2"/>
        <v>1.0059618441971383</v>
      </c>
      <c r="L397" s="66">
        <f t="shared" si="3"/>
        <v>0.37838379787447363</v>
      </c>
      <c r="M397" s="49">
        <v>0</v>
      </c>
    </row>
    <row r="398" spans="1:13" x14ac:dyDescent="0.2">
      <c r="A398" s="49" t="s">
        <v>282</v>
      </c>
      <c r="B398" s="49">
        <v>21</v>
      </c>
      <c r="C398" s="66">
        <v>8.4000000000000005E-2</v>
      </c>
      <c r="D398" s="49">
        <v>3.4</v>
      </c>
      <c r="E398" s="49">
        <v>0</v>
      </c>
      <c r="F398" s="49">
        <v>9.1</v>
      </c>
      <c r="G398" s="49">
        <v>21803000</v>
      </c>
      <c r="H398" s="67">
        <v>8143000</v>
      </c>
      <c r="I398" s="67">
        <v>19657000</v>
      </c>
      <c r="J398" s="67">
        <v>8595000</v>
      </c>
      <c r="K398" s="68">
        <f t="shared" si="2"/>
        <v>0.94741128563118093</v>
      </c>
      <c r="L398" s="66">
        <f t="shared" si="3"/>
        <v>0.43724881721524139</v>
      </c>
      <c r="M398" s="49">
        <v>0</v>
      </c>
    </row>
    <row r="399" spans="1:13" x14ac:dyDescent="0.2">
      <c r="A399" s="49" t="s">
        <v>282</v>
      </c>
      <c r="B399" s="49">
        <v>22</v>
      </c>
      <c r="C399" s="66">
        <v>0.10780000000000001</v>
      </c>
      <c r="D399" s="49">
        <v>14</v>
      </c>
      <c r="E399" s="49">
        <v>0</v>
      </c>
      <c r="F399" s="49">
        <v>9.2899999999999991</v>
      </c>
      <c r="G399" s="49">
        <v>24327000</v>
      </c>
      <c r="H399" s="67">
        <v>9198000</v>
      </c>
      <c r="I399" s="67">
        <v>21916000</v>
      </c>
      <c r="J399" s="67">
        <v>9939000</v>
      </c>
      <c r="K399" s="68">
        <f t="shared" si="2"/>
        <v>0.92544521581648054</v>
      </c>
      <c r="L399" s="66">
        <f t="shared" si="3"/>
        <v>0.45350428910385104</v>
      </c>
      <c r="M399" s="49">
        <v>0</v>
      </c>
    </row>
    <row r="400" spans="1:13" x14ac:dyDescent="0.2">
      <c r="A400" s="49" t="s">
        <v>282</v>
      </c>
      <c r="B400" s="49">
        <v>23</v>
      </c>
      <c r="C400" s="66">
        <v>9.4299999999999995E-2</v>
      </c>
      <c r="D400" s="49">
        <v>14.1</v>
      </c>
      <c r="E400" s="49">
        <v>0</v>
      </c>
      <c r="F400" s="49">
        <v>8.59</v>
      </c>
      <c r="G400" s="49">
        <v>28562000</v>
      </c>
      <c r="H400" s="67">
        <v>10465000</v>
      </c>
      <c r="I400" s="67">
        <v>25512000</v>
      </c>
      <c r="J400" s="67">
        <v>10590000</v>
      </c>
      <c r="K400" s="68">
        <f t="shared" si="2"/>
        <v>0.98819641170915962</v>
      </c>
      <c r="L400" s="66">
        <f t="shared" si="3"/>
        <v>0.41509877704609593</v>
      </c>
      <c r="M400" s="49">
        <v>0</v>
      </c>
    </row>
    <row r="401" spans="1:13" x14ac:dyDescent="0.2">
      <c r="A401" s="49" t="s">
        <v>256</v>
      </c>
      <c r="B401" s="49">
        <v>19</v>
      </c>
      <c r="C401" s="66">
        <v>0.1</v>
      </c>
      <c r="D401" s="49">
        <v>3</v>
      </c>
      <c r="E401" s="49">
        <v>2776000</v>
      </c>
      <c r="F401" s="49">
        <v>13.44</v>
      </c>
      <c r="G401" s="49" t="s">
        <v>442</v>
      </c>
      <c r="H401" s="67">
        <v>14380000</v>
      </c>
      <c r="I401" s="67">
        <f>1.204*(10^8)</f>
        <v>120400000</v>
      </c>
      <c r="J401" s="67">
        <v>61844000</v>
      </c>
      <c r="K401" s="68">
        <f t="shared" si="2"/>
        <v>0.23252053554103874</v>
      </c>
      <c r="L401" s="66">
        <f t="shared" si="3"/>
        <v>0.51365448504983391</v>
      </c>
      <c r="M401" s="49">
        <v>1</v>
      </c>
    </row>
    <row r="402" spans="1:13" x14ac:dyDescent="0.2">
      <c r="A402" s="49" t="s">
        <v>256</v>
      </c>
      <c r="B402" s="49">
        <v>20</v>
      </c>
      <c r="C402" s="66">
        <v>9.4E-2</v>
      </c>
      <c r="D402" s="49">
        <v>0.5</v>
      </c>
      <c r="E402" s="49">
        <v>304000</v>
      </c>
      <c r="F402" s="49">
        <v>14.33</v>
      </c>
      <c r="G402" s="49">
        <v>86883000</v>
      </c>
      <c r="H402" s="67">
        <v>14913000</v>
      </c>
      <c r="I402" s="67">
        <f>1.191*(10^8)</f>
        <v>119100000</v>
      </c>
      <c r="J402" s="67">
        <v>65081000</v>
      </c>
      <c r="K402" s="68">
        <f t="shared" si="2"/>
        <v>0.22914521903474133</v>
      </c>
      <c r="L402" s="66">
        <f t="shared" si="3"/>
        <v>0.54643996641477754</v>
      </c>
      <c r="M402" s="49">
        <v>1</v>
      </c>
    </row>
    <row r="403" spans="1:13" x14ac:dyDescent="0.2">
      <c r="A403" s="49" t="s">
        <v>256</v>
      </c>
      <c r="B403" s="49">
        <v>21</v>
      </c>
      <c r="C403" s="66">
        <v>9.6000000000000002E-2</v>
      </c>
      <c r="D403" s="49">
        <v>3.4</v>
      </c>
      <c r="E403" s="49">
        <v>0</v>
      </c>
      <c r="F403" s="49">
        <v>20.11</v>
      </c>
      <c r="G403" s="49" t="s">
        <v>443</v>
      </c>
      <c r="H403" s="67">
        <v>34278000</v>
      </c>
      <c r="I403" s="67">
        <f t="shared" ref="I403:I404" si="4">1.555*(10^8)</f>
        <v>155500000</v>
      </c>
      <c r="J403" s="67">
        <v>77200000</v>
      </c>
      <c r="K403" s="68">
        <f t="shared" si="2"/>
        <v>0.44401554404145077</v>
      </c>
      <c r="L403" s="66">
        <f t="shared" si="3"/>
        <v>0.49646302250803859</v>
      </c>
      <c r="M403" s="49">
        <v>0</v>
      </c>
    </row>
    <row r="404" spans="1:13" x14ac:dyDescent="0.2">
      <c r="A404" s="49" t="s">
        <v>256</v>
      </c>
      <c r="B404" s="49">
        <v>22</v>
      </c>
      <c r="C404" s="66">
        <v>9.4E-2</v>
      </c>
      <c r="D404" s="49">
        <v>14</v>
      </c>
      <c r="E404" s="49">
        <v>88000</v>
      </c>
      <c r="F404" s="49">
        <v>21.24</v>
      </c>
      <c r="G404" s="49">
        <v>86631000</v>
      </c>
      <c r="H404" s="67">
        <v>34278000</v>
      </c>
      <c r="I404" s="67">
        <f t="shared" si="4"/>
        <v>155500000</v>
      </c>
      <c r="J404" s="67">
        <v>77200000</v>
      </c>
      <c r="K404" s="68">
        <f t="shared" si="2"/>
        <v>0.44401554404145077</v>
      </c>
      <c r="L404" s="66">
        <f t="shared" si="3"/>
        <v>0.49646302250803859</v>
      </c>
      <c r="M404" s="49">
        <v>1</v>
      </c>
    </row>
    <row r="405" spans="1:13" x14ac:dyDescent="0.2">
      <c r="A405" s="49" t="s">
        <v>256</v>
      </c>
      <c r="B405" s="49">
        <v>23</v>
      </c>
      <c r="C405" s="66">
        <v>9.7000000000000003E-2</v>
      </c>
      <c r="D405" s="49">
        <v>14.1</v>
      </c>
      <c r="E405" s="49">
        <v>0</v>
      </c>
      <c r="F405" s="49">
        <v>18.36</v>
      </c>
      <c r="G405" s="49" t="s">
        <v>444</v>
      </c>
      <c r="H405" s="67">
        <v>46656000</v>
      </c>
      <c r="I405" s="67">
        <f>1.742*(10^8)</f>
        <v>174200000</v>
      </c>
      <c r="J405" s="67">
        <v>87631000</v>
      </c>
      <c r="K405" s="68">
        <f t="shared" si="2"/>
        <v>0.53241432826282942</v>
      </c>
      <c r="L405" s="66">
        <f t="shared" si="3"/>
        <v>0.50304822043628017</v>
      </c>
      <c r="M405" s="49">
        <v>0</v>
      </c>
    </row>
    <row r="406" spans="1:13" x14ac:dyDescent="0.2">
      <c r="A406" s="49" t="s">
        <v>258</v>
      </c>
      <c r="B406" s="49">
        <v>19</v>
      </c>
      <c r="C406" s="66">
        <v>9.0999999999999998E-2</v>
      </c>
      <c r="D406" s="49">
        <v>3</v>
      </c>
      <c r="E406" s="49">
        <v>0</v>
      </c>
      <c r="F406" s="49">
        <v>4.3</v>
      </c>
      <c r="G406" s="49">
        <v>9985000</v>
      </c>
      <c r="H406" s="67">
        <v>940000</v>
      </c>
      <c r="I406" s="67">
        <v>6272000</v>
      </c>
      <c r="J406" s="67">
        <v>1739000</v>
      </c>
      <c r="K406" s="68">
        <f t="shared" si="2"/>
        <v>0.54054054054054057</v>
      </c>
      <c r="L406" s="66">
        <f t="shared" si="3"/>
        <v>0.27726403061224492</v>
      </c>
      <c r="M406" s="49">
        <v>0</v>
      </c>
    </row>
    <row r="407" spans="1:13" x14ac:dyDescent="0.2">
      <c r="A407" s="49" t="s">
        <v>258</v>
      </c>
      <c r="B407" s="49">
        <v>20</v>
      </c>
      <c r="C407" s="66">
        <v>6.0999999999999999E-2</v>
      </c>
      <c r="D407" s="49">
        <v>0.5</v>
      </c>
      <c r="E407" s="49">
        <v>0</v>
      </c>
      <c r="F407" s="49">
        <v>3.53</v>
      </c>
      <c r="G407" s="49">
        <v>9993000</v>
      </c>
      <c r="H407" s="67">
        <v>888000</v>
      </c>
      <c r="I407" s="67">
        <v>6385000</v>
      </c>
      <c r="J407" s="67">
        <v>1875000</v>
      </c>
      <c r="K407" s="68">
        <f t="shared" si="2"/>
        <v>0.47360000000000002</v>
      </c>
      <c r="L407" s="66">
        <f t="shared" si="3"/>
        <v>0.2936570086139389</v>
      </c>
      <c r="M407" s="49">
        <v>0</v>
      </c>
    </row>
    <row r="408" spans="1:13" x14ac:dyDescent="0.2">
      <c r="A408" s="49" t="s">
        <v>258</v>
      </c>
      <c r="B408" s="49">
        <v>21</v>
      </c>
      <c r="C408" s="66">
        <v>8.5999999999999993E-2</v>
      </c>
      <c r="D408" s="49">
        <v>3.4</v>
      </c>
      <c r="E408" s="49">
        <v>0</v>
      </c>
      <c r="F408" s="49">
        <v>2.2200000000000002</v>
      </c>
      <c r="G408" s="49">
        <v>10173000</v>
      </c>
      <c r="H408" s="67">
        <v>921000</v>
      </c>
      <c r="I408" s="67">
        <v>6494000</v>
      </c>
      <c r="J408" s="67">
        <v>1952000</v>
      </c>
      <c r="K408" s="68">
        <f t="shared" si="2"/>
        <v>0.4718237704918033</v>
      </c>
      <c r="L408" s="66">
        <f t="shared" si="3"/>
        <v>0.30058515552817988</v>
      </c>
      <c r="M408" s="49">
        <v>0</v>
      </c>
    </row>
    <row r="409" spans="1:13" x14ac:dyDescent="0.2">
      <c r="A409" s="49" t="s">
        <v>258</v>
      </c>
      <c r="B409" s="49">
        <v>22</v>
      </c>
      <c r="C409" s="66">
        <v>0.1</v>
      </c>
      <c r="D409" s="49">
        <v>14</v>
      </c>
      <c r="E409" s="49">
        <v>0</v>
      </c>
      <c r="F409" s="49">
        <v>2.42</v>
      </c>
      <c r="G409" s="49">
        <v>12258000</v>
      </c>
      <c r="H409" s="67">
        <v>971000</v>
      </c>
      <c r="I409" s="67">
        <v>6965000</v>
      </c>
      <c r="J409" s="67">
        <v>2331000</v>
      </c>
      <c r="K409" s="68">
        <f t="shared" si="2"/>
        <v>0.41655941655941658</v>
      </c>
      <c r="L409" s="66">
        <f t="shared" si="3"/>
        <v>0.33467336683417087</v>
      </c>
      <c r="M409" s="49">
        <v>0</v>
      </c>
    </row>
    <row r="410" spans="1:13" x14ac:dyDescent="0.2">
      <c r="A410" s="49" t="s">
        <v>258</v>
      </c>
      <c r="B410" s="49">
        <v>23</v>
      </c>
      <c r="C410" s="66">
        <v>0.111</v>
      </c>
      <c r="D410" s="49">
        <v>14.1</v>
      </c>
      <c r="E410" s="49">
        <v>0</v>
      </c>
      <c r="F410" s="49">
        <v>4.13</v>
      </c>
      <c r="G410" s="49">
        <v>12954000</v>
      </c>
      <c r="H410" s="67">
        <v>950000</v>
      </c>
      <c r="I410" s="67">
        <v>6652000</v>
      </c>
      <c r="J410" s="67">
        <v>2397000</v>
      </c>
      <c r="K410" s="68">
        <f t="shared" si="2"/>
        <v>0.39632874426366294</v>
      </c>
      <c r="L410" s="66">
        <f t="shared" si="3"/>
        <v>0.36034275405892963</v>
      </c>
      <c r="M410" s="49">
        <v>0</v>
      </c>
    </row>
    <row r="411" spans="1:13" x14ac:dyDescent="0.2">
      <c r="A411" s="49" t="s">
        <v>267</v>
      </c>
      <c r="B411" s="49">
        <v>19</v>
      </c>
      <c r="C411" s="66">
        <v>6.5000000000000002E-2</v>
      </c>
      <c r="D411" s="49">
        <v>3</v>
      </c>
      <c r="E411" s="49">
        <v>0</v>
      </c>
      <c r="F411" s="49">
        <v>5.15</v>
      </c>
      <c r="G411" s="49" t="s">
        <v>445</v>
      </c>
      <c r="H411" s="67">
        <v>22157000</v>
      </c>
      <c r="I411" s="67">
        <v>62190000</v>
      </c>
      <c r="J411" s="67">
        <v>19569000</v>
      </c>
      <c r="K411" s="68">
        <f t="shared" si="2"/>
        <v>1.1322499872246921</v>
      </c>
      <c r="L411" s="66">
        <f t="shared" si="3"/>
        <v>0.31466473709599613</v>
      </c>
      <c r="M411" s="49">
        <v>0</v>
      </c>
    </row>
    <row r="412" spans="1:13" x14ac:dyDescent="0.2">
      <c r="A412" s="49" t="s">
        <v>267</v>
      </c>
      <c r="B412" s="49">
        <v>20</v>
      </c>
      <c r="C412" s="66">
        <v>6.4000000000000001E-2</v>
      </c>
      <c r="D412" s="49">
        <v>0.5</v>
      </c>
      <c r="E412" s="49">
        <v>0</v>
      </c>
      <c r="F412" s="49">
        <v>4.01</v>
      </c>
      <c r="G412" s="49" t="s">
        <v>446</v>
      </c>
      <c r="H412" s="67">
        <v>21414000</v>
      </c>
      <c r="I412" s="67">
        <v>59127000</v>
      </c>
      <c r="J412" s="67">
        <v>17697000</v>
      </c>
      <c r="K412" s="68">
        <f t="shared" si="2"/>
        <v>1.210035599254111</v>
      </c>
      <c r="L412" s="66">
        <f t="shared" si="3"/>
        <v>0.29930488609264805</v>
      </c>
      <c r="M412" s="49">
        <v>0</v>
      </c>
    </row>
    <row r="413" spans="1:13" x14ac:dyDescent="0.2">
      <c r="A413" s="49" t="s">
        <v>267</v>
      </c>
      <c r="B413" s="49">
        <v>21</v>
      </c>
      <c r="C413" s="66">
        <v>6.3E-2</v>
      </c>
      <c r="D413" s="49">
        <v>3.4</v>
      </c>
      <c r="E413" s="49">
        <v>0</v>
      </c>
      <c r="F413" s="49">
        <v>4.45</v>
      </c>
      <c r="G413" s="49" t="s">
        <v>447</v>
      </c>
      <c r="H413" s="67">
        <v>23373000</v>
      </c>
      <c r="I413" s="67">
        <v>63363000</v>
      </c>
      <c r="J413" s="67">
        <v>20792000</v>
      </c>
      <c r="K413" s="68">
        <f t="shared" si="2"/>
        <v>1.1241342824163139</v>
      </c>
      <c r="L413" s="66">
        <f t="shared" si="3"/>
        <v>0.32814102867604122</v>
      </c>
      <c r="M413" s="49">
        <v>0</v>
      </c>
    </row>
    <row r="414" spans="1:13" x14ac:dyDescent="0.2">
      <c r="A414" s="49" t="s">
        <v>267</v>
      </c>
      <c r="B414" s="49">
        <v>22</v>
      </c>
      <c r="C414" s="66">
        <v>7.3999999999999996E-2</v>
      </c>
      <c r="D414" s="49">
        <v>14</v>
      </c>
      <c r="E414" s="49">
        <v>0</v>
      </c>
      <c r="F414" s="49">
        <v>5.05</v>
      </c>
      <c r="G414" s="49" t="s">
        <v>448</v>
      </c>
      <c r="H414" s="67">
        <v>51021</v>
      </c>
      <c r="I414" s="67">
        <f>1.155*(10^8)</f>
        <v>115500000</v>
      </c>
      <c r="J414" s="67">
        <v>36424000</v>
      </c>
      <c r="K414" s="68">
        <f t="shared" si="2"/>
        <v>1.4007522512629036E-3</v>
      </c>
      <c r="L414" s="66">
        <f t="shared" si="3"/>
        <v>0.31535930735930734</v>
      </c>
      <c r="M414" s="49">
        <v>0</v>
      </c>
    </row>
    <row r="415" spans="1:13" x14ac:dyDescent="0.2">
      <c r="A415" s="49" t="s">
        <v>267</v>
      </c>
      <c r="B415" s="49">
        <v>23</v>
      </c>
      <c r="C415" s="66">
        <v>7.6999999999999999E-2</v>
      </c>
      <c r="D415" s="49">
        <v>14.1</v>
      </c>
      <c r="E415" s="49">
        <v>0</v>
      </c>
      <c r="F415" s="49">
        <v>3.47</v>
      </c>
      <c r="G415" s="49" t="s">
        <v>449</v>
      </c>
      <c r="H415" s="67">
        <v>50916000</v>
      </c>
      <c r="I415" s="67">
        <f>1.164*(10^8)</f>
        <v>116399999.99999999</v>
      </c>
      <c r="J415" s="67">
        <v>36695000</v>
      </c>
      <c r="K415" s="68">
        <f t="shared" si="2"/>
        <v>1.3875459871917155</v>
      </c>
      <c r="L415" s="66">
        <f t="shared" si="3"/>
        <v>0.31524914089347084</v>
      </c>
      <c r="M415" s="49">
        <v>0</v>
      </c>
    </row>
    <row r="416" spans="1:13" x14ac:dyDescent="0.2">
      <c r="A416" s="49" t="s">
        <v>269</v>
      </c>
      <c r="B416" s="49">
        <v>19</v>
      </c>
      <c r="C416" s="66">
        <v>0.1226</v>
      </c>
      <c r="D416" s="49">
        <v>3</v>
      </c>
      <c r="E416" s="49">
        <v>0</v>
      </c>
      <c r="F416" s="49">
        <v>8.2100000000000009</v>
      </c>
      <c r="G416" s="49">
        <v>5177244</v>
      </c>
      <c r="H416" s="67">
        <v>1753906</v>
      </c>
      <c r="I416" s="67">
        <v>4990927</v>
      </c>
      <c r="J416" s="67">
        <v>1997925</v>
      </c>
      <c r="K416" s="68">
        <f t="shared" si="2"/>
        <v>0.87786378367556339</v>
      </c>
      <c r="L416" s="66">
        <f t="shared" si="3"/>
        <v>0.40031140507565027</v>
      </c>
      <c r="M416" s="49">
        <v>0</v>
      </c>
    </row>
    <row r="417" spans="1:13" x14ac:dyDescent="0.2">
      <c r="A417" s="49" t="s">
        <v>269</v>
      </c>
      <c r="B417" s="49">
        <v>20</v>
      </c>
      <c r="C417" s="66">
        <v>9.2799999999999994E-2</v>
      </c>
      <c r="D417" s="49">
        <v>0.5</v>
      </c>
      <c r="E417" s="49">
        <v>0</v>
      </c>
      <c r="F417" s="49">
        <v>14.54</v>
      </c>
      <c r="G417" s="49">
        <v>8290484</v>
      </c>
      <c r="H417" s="67">
        <v>3298264</v>
      </c>
      <c r="I417" s="67">
        <v>11634399</v>
      </c>
      <c r="J417" s="67">
        <v>7511987</v>
      </c>
      <c r="K417" s="68">
        <f t="shared" si="2"/>
        <v>0.43906678752239586</v>
      </c>
      <c r="L417" s="66">
        <f t="shared" si="3"/>
        <v>0.64567039517898606</v>
      </c>
      <c r="M417" s="49">
        <v>0</v>
      </c>
    </row>
    <row r="418" spans="1:13" x14ac:dyDescent="0.2">
      <c r="A418" s="49" t="s">
        <v>269</v>
      </c>
      <c r="B418" s="49">
        <v>21</v>
      </c>
      <c r="C418" s="66">
        <v>9.6199999999999994E-2</v>
      </c>
      <c r="D418" s="49">
        <v>3.4</v>
      </c>
      <c r="E418" s="49">
        <v>0</v>
      </c>
      <c r="F418" s="49">
        <v>16.170000000000002</v>
      </c>
      <c r="G418" s="49">
        <v>16466955</v>
      </c>
      <c r="H418" s="67">
        <v>27142539</v>
      </c>
      <c r="I418" s="67">
        <v>57080508</v>
      </c>
      <c r="J418" s="67">
        <v>34052661</v>
      </c>
      <c r="K418" s="68">
        <f t="shared" si="2"/>
        <v>0.79707541798275328</v>
      </c>
      <c r="L418" s="66">
        <f t="shared" si="3"/>
        <v>0.59657249371361587</v>
      </c>
      <c r="M418" s="49">
        <v>0</v>
      </c>
    </row>
    <row r="419" spans="1:13" x14ac:dyDescent="0.2">
      <c r="A419" s="49" t="s">
        <v>269</v>
      </c>
      <c r="B419" s="49">
        <v>22</v>
      </c>
      <c r="C419" s="66">
        <v>0.1138</v>
      </c>
      <c r="D419" s="49">
        <v>14</v>
      </c>
      <c r="E419" s="49">
        <v>5097000</v>
      </c>
      <c r="F419" s="49" t="s">
        <v>450</v>
      </c>
      <c r="G419" s="49">
        <v>28707000</v>
      </c>
      <c r="H419" s="67">
        <v>25838000</v>
      </c>
      <c r="I419" s="67">
        <v>57284000</v>
      </c>
      <c r="J419" s="67">
        <v>34430000</v>
      </c>
      <c r="K419" s="68">
        <f t="shared" si="2"/>
        <v>0.75045018878884695</v>
      </c>
      <c r="L419" s="66">
        <f t="shared" si="3"/>
        <v>0.60104043013756026</v>
      </c>
      <c r="M419" s="49">
        <v>1</v>
      </c>
    </row>
    <row r="420" spans="1:13" x14ac:dyDescent="0.2">
      <c r="A420" s="49" t="s">
        <v>269</v>
      </c>
      <c r="B420" s="49">
        <v>23</v>
      </c>
      <c r="C420" s="66">
        <v>0.11600000000000001</v>
      </c>
      <c r="D420" s="49">
        <v>14.1</v>
      </c>
      <c r="E420" s="49">
        <v>0</v>
      </c>
      <c r="F420" s="49">
        <v>13.13</v>
      </c>
      <c r="G420" s="49">
        <v>29607000</v>
      </c>
      <c r="H420" s="67">
        <v>25160000</v>
      </c>
      <c r="I420" s="67">
        <v>53134000</v>
      </c>
      <c r="J420" s="67">
        <v>33662000</v>
      </c>
      <c r="K420" s="68">
        <f t="shared" si="2"/>
        <v>0.74743033687837923</v>
      </c>
      <c r="L420" s="66">
        <f t="shared" si="3"/>
        <v>0.63353031956939054</v>
      </c>
      <c r="M420" s="49">
        <v>0</v>
      </c>
    </row>
    <row r="421" spans="1:13" x14ac:dyDescent="0.2">
      <c r="A421" s="49" t="s">
        <v>271</v>
      </c>
      <c r="B421" s="49">
        <v>19</v>
      </c>
      <c r="C421" s="66">
        <v>9.5000000000000001E-2</v>
      </c>
      <c r="D421" s="49">
        <v>3</v>
      </c>
      <c r="E421" s="49">
        <v>547000</v>
      </c>
      <c r="F421" s="49">
        <v>4.58</v>
      </c>
      <c r="G421" s="49" t="s">
        <v>451</v>
      </c>
      <c r="H421" s="67">
        <v>4057000</v>
      </c>
      <c r="I421" s="67">
        <f>1.26*(10^8)</f>
        <v>126000000</v>
      </c>
      <c r="J421" s="67">
        <v>32924000</v>
      </c>
      <c r="K421" s="68">
        <f t="shared" si="2"/>
        <v>0.12322318065848621</v>
      </c>
      <c r="L421" s="66">
        <f t="shared" si="3"/>
        <v>0.26130158730158731</v>
      </c>
      <c r="M421" s="49">
        <v>1</v>
      </c>
    </row>
    <row r="422" spans="1:13" x14ac:dyDescent="0.2">
      <c r="A422" s="49" t="s">
        <v>271</v>
      </c>
      <c r="B422" s="49">
        <v>20</v>
      </c>
      <c r="C422" s="66">
        <v>0.1125</v>
      </c>
      <c r="D422" s="49">
        <v>0.5</v>
      </c>
      <c r="E422" s="49">
        <v>53000</v>
      </c>
      <c r="F422" s="49">
        <v>8.08</v>
      </c>
      <c r="G422" s="49" t="s">
        <v>452</v>
      </c>
      <c r="H422" s="67">
        <v>3713000</v>
      </c>
      <c r="I422" s="67">
        <f>1.256*(10^8)</f>
        <v>125600000</v>
      </c>
      <c r="J422" s="67">
        <v>38620000</v>
      </c>
      <c r="K422" s="68">
        <f t="shared" si="2"/>
        <v>9.6141895390989121E-2</v>
      </c>
      <c r="L422" s="66">
        <f t="shared" si="3"/>
        <v>0.30748407643312103</v>
      </c>
      <c r="M422" s="49">
        <v>1</v>
      </c>
    </row>
    <row r="423" spans="1:13" x14ac:dyDescent="0.2">
      <c r="A423" s="49" t="s">
        <v>271</v>
      </c>
      <c r="B423" s="49">
        <v>21</v>
      </c>
      <c r="C423" s="66">
        <v>0.10249999999999999</v>
      </c>
      <c r="D423" s="49">
        <v>3.4</v>
      </c>
      <c r="E423" s="49">
        <v>1000</v>
      </c>
      <c r="F423" s="49">
        <v>6</v>
      </c>
      <c r="G423" s="49" t="s">
        <v>384</v>
      </c>
      <c r="H423" s="67">
        <v>3934000</v>
      </c>
      <c r="I423" s="67">
        <f>1.39*(10^8)</f>
        <v>139000000</v>
      </c>
      <c r="J423" s="67">
        <v>45683000</v>
      </c>
      <c r="K423" s="68">
        <f t="shared" si="2"/>
        <v>8.6115185079788978E-2</v>
      </c>
      <c r="L423" s="66">
        <f t="shared" si="3"/>
        <v>0.32865467625899281</v>
      </c>
      <c r="M423" s="49">
        <v>1</v>
      </c>
    </row>
    <row r="424" spans="1:13" x14ac:dyDescent="0.2">
      <c r="A424" s="49" t="s">
        <v>271</v>
      </c>
      <c r="B424" s="49">
        <v>22</v>
      </c>
      <c r="C424" s="66">
        <v>0.125</v>
      </c>
      <c r="D424" s="49">
        <v>14</v>
      </c>
      <c r="E424" s="49">
        <v>158000</v>
      </c>
      <c r="F424" s="49">
        <v>7.08</v>
      </c>
      <c r="G424" s="49" t="s">
        <v>453</v>
      </c>
      <c r="H424" s="67">
        <v>4160000</v>
      </c>
      <c r="I424" s="67">
        <f>1.516*(10^8)</f>
        <v>151600000</v>
      </c>
      <c r="J424" s="67">
        <v>55111000</v>
      </c>
      <c r="K424" s="68">
        <f t="shared" si="2"/>
        <v>7.5484023153272489E-2</v>
      </c>
      <c r="L424" s="66">
        <f t="shared" si="3"/>
        <v>0.36352902374670187</v>
      </c>
      <c r="M424" s="49">
        <v>1</v>
      </c>
    </row>
    <row r="425" spans="1:13" x14ac:dyDescent="0.2">
      <c r="A425" s="49" t="s">
        <v>271</v>
      </c>
      <c r="B425" s="49">
        <v>23</v>
      </c>
      <c r="C425" s="66">
        <v>0.13250000000000001</v>
      </c>
      <c r="D425" s="49">
        <v>14.1</v>
      </c>
      <c r="E425" s="49">
        <v>0</v>
      </c>
      <c r="F425" s="49">
        <v>4.07</v>
      </c>
      <c r="G425" s="49" t="s">
        <v>454</v>
      </c>
      <c r="H425" s="67">
        <v>3919000</v>
      </c>
      <c r="I425" s="67">
        <f>1.552*(10^8)</f>
        <v>155200000</v>
      </c>
      <c r="J425" s="67">
        <v>56202000</v>
      </c>
      <c r="K425" s="68">
        <f t="shared" si="2"/>
        <v>6.9730614568876553E-2</v>
      </c>
      <c r="L425" s="66">
        <f t="shared" si="3"/>
        <v>0.36212628865979379</v>
      </c>
      <c r="M425" s="49">
        <v>0</v>
      </c>
    </row>
    <row r="426" spans="1:13" x14ac:dyDescent="0.2">
      <c r="A426" s="49" t="s">
        <v>273</v>
      </c>
      <c r="B426" s="49">
        <v>19</v>
      </c>
      <c r="C426" s="66">
        <v>0.08</v>
      </c>
      <c r="D426" s="49">
        <v>3</v>
      </c>
      <c r="E426" s="49">
        <v>0</v>
      </c>
      <c r="F426" s="49" t="s">
        <v>455</v>
      </c>
      <c r="G426" s="49">
        <v>2694875</v>
      </c>
      <c r="H426" s="67">
        <v>96151</v>
      </c>
      <c r="I426" s="67">
        <v>5065777</v>
      </c>
      <c r="J426" s="67">
        <v>2545644</v>
      </c>
      <c r="K426" s="68">
        <f t="shared" si="2"/>
        <v>3.7770795916475357E-2</v>
      </c>
      <c r="L426" s="66">
        <f t="shared" si="3"/>
        <v>0.5025179750312736</v>
      </c>
      <c r="M426" s="49">
        <v>0</v>
      </c>
    </row>
    <row r="427" spans="1:13" x14ac:dyDescent="0.2">
      <c r="A427" s="49" t="s">
        <v>273</v>
      </c>
      <c r="B427" s="49">
        <v>20</v>
      </c>
      <c r="C427" s="66">
        <v>0.08</v>
      </c>
      <c r="D427" s="49">
        <v>0.5</v>
      </c>
      <c r="E427" s="49">
        <v>0</v>
      </c>
      <c r="F427" s="49">
        <v>19.07</v>
      </c>
      <c r="G427" s="49">
        <v>2409167</v>
      </c>
      <c r="H427" s="67">
        <v>89942</v>
      </c>
      <c r="I427" s="67">
        <v>6023251</v>
      </c>
      <c r="J427" s="67">
        <v>2511019</v>
      </c>
      <c r="K427" s="68">
        <f t="shared" si="2"/>
        <v>3.5818924508337055E-2</v>
      </c>
      <c r="L427" s="66">
        <f t="shared" si="3"/>
        <v>0.41688765751252937</v>
      </c>
      <c r="M427" s="49">
        <v>0</v>
      </c>
    </row>
    <row r="428" spans="1:13" x14ac:dyDescent="0.2">
      <c r="A428" s="49" t="s">
        <v>273</v>
      </c>
      <c r="B428" s="49">
        <v>21</v>
      </c>
      <c r="C428" s="66">
        <v>0.08</v>
      </c>
      <c r="D428" s="49">
        <v>3.4</v>
      </c>
      <c r="E428" s="49">
        <v>0</v>
      </c>
      <c r="F428" s="49">
        <v>12.34</v>
      </c>
      <c r="G428" s="49">
        <v>3056173</v>
      </c>
      <c r="H428" s="67">
        <v>88319</v>
      </c>
      <c r="I428" s="67">
        <v>6873997</v>
      </c>
      <c r="J428" s="67">
        <v>2758305</v>
      </c>
      <c r="K428" s="68">
        <f t="shared" si="2"/>
        <v>3.2019301708839307E-2</v>
      </c>
      <c r="L428" s="66">
        <f t="shared" si="3"/>
        <v>0.40126654114047478</v>
      </c>
      <c r="M428" s="49">
        <v>0</v>
      </c>
    </row>
    <row r="429" spans="1:13" x14ac:dyDescent="0.2">
      <c r="A429" s="49" t="s">
        <v>273</v>
      </c>
      <c r="B429" s="49">
        <v>22</v>
      </c>
      <c r="C429" s="66">
        <v>0.08</v>
      </c>
      <c r="D429" s="49">
        <v>14</v>
      </c>
      <c r="E429" s="49">
        <v>0</v>
      </c>
      <c r="F429" s="70">
        <v>36609</v>
      </c>
      <c r="G429" s="49">
        <v>4198576</v>
      </c>
      <c r="H429" s="67">
        <v>102032</v>
      </c>
      <c r="I429" s="67">
        <v>7973524</v>
      </c>
      <c r="J429" s="67">
        <v>3357177</v>
      </c>
      <c r="K429" s="68">
        <f t="shared" si="2"/>
        <v>3.0392201543141754E-2</v>
      </c>
      <c r="L429" s="66">
        <f t="shared" si="3"/>
        <v>0.421040558729114</v>
      </c>
      <c r="M429" s="49">
        <v>0</v>
      </c>
    </row>
    <row r="430" spans="1:13" x14ac:dyDescent="0.2">
      <c r="A430" s="49" t="s">
        <v>273</v>
      </c>
      <c r="B430" s="49">
        <v>23</v>
      </c>
      <c r="C430" s="66">
        <v>0.08</v>
      </c>
      <c r="D430" s="49">
        <v>14.1</v>
      </c>
      <c r="E430" s="49">
        <v>0</v>
      </c>
      <c r="F430" s="49">
        <v>16.34</v>
      </c>
      <c r="G430" s="49">
        <v>4305944</v>
      </c>
      <c r="H430" s="67">
        <v>97475</v>
      </c>
      <c r="I430" s="67">
        <v>8760992</v>
      </c>
      <c r="J430" s="67">
        <v>3482496</v>
      </c>
      <c r="K430" s="68">
        <f t="shared" si="2"/>
        <v>2.7989981898040944E-2</v>
      </c>
      <c r="L430" s="66">
        <f t="shared" si="3"/>
        <v>0.39750019175910672</v>
      </c>
      <c r="M430" s="49">
        <v>0</v>
      </c>
    </row>
    <row r="431" spans="1:13" x14ac:dyDescent="0.2">
      <c r="A431" s="49" t="s">
        <v>278</v>
      </c>
      <c r="B431" s="49">
        <v>19</v>
      </c>
      <c r="C431" s="66">
        <v>0.1</v>
      </c>
      <c r="D431" s="49">
        <v>3</v>
      </c>
      <c r="E431" s="49">
        <v>0</v>
      </c>
      <c r="F431" s="49" t="s">
        <v>456</v>
      </c>
      <c r="G431" s="49">
        <v>2175000</v>
      </c>
      <c r="H431" s="67">
        <v>2211000</v>
      </c>
      <c r="I431" s="67">
        <v>4052000</v>
      </c>
      <c r="J431" s="67">
        <v>1941000</v>
      </c>
      <c r="K431" s="68">
        <f t="shared" si="2"/>
        <v>1.1391035548686244</v>
      </c>
      <c r="L431" s="66">
        <f t="shared" si="3"/>
        <v>0.47902270483711745</v>
      </c>
      <c r="M431" s="49">
        <v>0</v>
      </c>
    </row>
    <row r="432" spans="1:13" x14ac:dyDescent="0.2">
      <c r="A432" s="49" t="s">
        <v>278</v>
      </c>
      <c r="B432" s="49">
        <v>20</v>
      </c>
      <c r="C432" s="66">
        <v>7.0999999999999994E-2</v>
      </c>
      <c r="D432" s="49">
        <v>0.5</v>
      </c>
      <c r="E432" s="49">
        <v>0</v>
      </c>
      <c r="F432" s="49" t="s">
        <v>457</v>
      </c>
      <c r="G432" s="49">
        <v>4334000</v>
      </c>
      <c r="H432" s="67">
        <v>7929000</v>
      </c>
      <c r="I432" s="67">
        <v>12367000</v>
      </c>
      <c r="J432" s="67">
        <v>6129000</v>
      </c>
      <c r="K432" s="68">
        <f t="shared" si="2"/>
        <v>1.2936857562408224</v>
      </c>
      <c r="L432" s="66">
        <f t="shared" si="3"/>
        <v>0.49559311069782486</v>
      </c>
      <c r="M432" s="49">
        <v>0</v>
      </c>
    </row>
    <row r="433" spans="1:13" x14ac:dyDescent="0.2">
      <c r="A433" s="49" t="s">
        <v>278</v>
      </c>
      <c r="B433" s="49">
        <v>21</v>
      </c>
      <c r="C433" s="66">
        <v>7.0999999999999994E-2</v>
      </c>
      <c r="D433" s="49">
        <v>3.4</v>
      </c>
      <c r="E433" s="49">
        <v>0</v>
      </c>
      <c r="F433" s="49">
        <v>19.36</v>
      </c>
      <c r="G433" s="49">
        <v>5943000</v>
      </c>
      <c r="H433" s="67">
        <v>12752000</v>
      </c>
      <c r="I433" s="67">
        <v>20049000</v>
      </c>
      <c r="J433" s="67">
        <v>9773000</v>
      </c>
      <c r="K433" s="68">
        <f t="shared" si="2"/>
        <v>1.3048194003888263</v>
      </c>
      <c r="L433" s="66">
        <f t="shared" si="3"/>
        <v>0.48745573345304005</v>
      </c>
      <c r="M433" s="49">
        <v>0</v>
      </c>
    </row>
    <row r="434" spans="1:13" x14ac:dyDescent="0.2">
      <c r="A434" s="49" t="s">
        <v>278</v>
      </c>
      <c r="B434" s="49">
        <v>22</v>
      </c>
      <c r="C434" s="66">
        <v>8.2000000000000003E-2</v>
      </c>
      <c r="D434" s="49">
        <v>14</v>
      </c>
      <c r="E434" s="49">
        <v>0</v>
      </c>
      <c r="F434" s="49">
        <v>16.059999999999999</v>
      </c>
      <c r="G434" s="49">
        <v>7695000</v>
      </c>
      <c r="H434" s="67">
        <v>16043000</v>
      </c>
      <c r="I434" s="67">
        <v>24126000</v>
      </c>
      <c r="J434" s="67">
        <v>14235000</v>
      </c>
      <c r="K434" s="68">
        <f t="shared" si="2"/>
        <v>1.1270108886547243</v>
      </c>
      <c r="L434" s="66">
        <f t="shared" si="3"/>
        <v>0.59002735637901016</v>
      </c>
      <c r="M434" s="49">
        <v>0</v>
      </c>
    </row>
    <row r="435" spans="1:13" x14ac:dyDescent="0.2">
      <c r="A435" s="49" t="s">
        <v>278</v>
      </c>
      <c r="B435" s="49">
        <v>23</v>
      </c>
      <c r="C435" s="66">
        <v>8.6999999999999994E-2</v>
      </c>
      <c r="D435" s="49">
        <v>14.1</v>
      </c>
      <c r="E435" s="49">
        <v>0</v>
      </c>
      <c r="F435" s="49">
        <v>12.26</v>
      </c>
      <c r="G435" s="49">
        <v>7584000</v>
      </c>
      <c r="H435" s="67">
        <v>15595000</v>
      </c>
      <c r="I435" s="67">
        <v>22605000</v>
      </c>
      <c r="J435" s="67">
        <v>13837000</v>
      </c>
      <c r="K435" s="68">
        <f t="shared" si="2"/>
        <v>1.1270506612705067</v>
      </c>
      <c r="L435" s="66">
        <f t="shared" si="3"/>
        <v>0.61212121212121207</v>
      </c>
      <c r="M435" s="49">
        <v>0</v>
      </c>
    </row>
    <row r="436" spans="1:13" x14ac:dyDescent="0.2">
      <c r="A436" s="49" t="s">
        <v>280</v>
      </c>
      <c r="B436" s="49">
        <v>19</v>
      </c>
      <c r="C436" s="66">
        <v>9.6000000000000002E-2</v>
      </c>
      <c r="D436" s="49">
        <v>3</v>
      </c>
      <c r="E436" s="49">
        <v>28000</v>
      </c>
      <c r="F436" s="49">
        <v>6.21</v>
      </c>
      <c r="G436" s="49">
        <v>6230870</v>
      </c>
      <c r="H436" s="67">
        <v>2739701</v>
      </c>
      <c r="I436" s="67">
        <v>7922650</v>
      </c>
      <c r="J436" s="67">
        <v>2904540</v>
      </c>
      <c r="K436" s="68">
        <f t="shared" si="2"/>
        <v>0.94324781204596941</v>
      </c>
      <c r="L436" s="66">
        <f t="shared" si="3"/>
        <v>0.36661218153016983</v>
      </c>
      <c r="M436" s="49">
        <v>1</v>
      </c>
    </row>
    <row r="437" spans="1:13" x14ac:dyDescent="0.2">
      <c r="A437" s="49" t="s">
        <v>280</v>
      </c>
      <c r="B437" s="49">
        <v>20</v>
      </c>
      <c r="C437" s="66">
        <v>9.1999999999999998E-2</v>
      </c>
      <c r="D437" s="49">
        <v>0.5</v>
      </c>
      <c r="E437" s="49">
        <v>0</v>
      </c>
      <c r="F437" s="49">
        <v>9.14</v>
      </c>
      <c r="G437" s="49">
        <v>9160000</v>
      </c>
      <c r="H437" s="67">
        <v>4652000</v>
      </c>
      <c r="I437" s="67">
        <v>12002000</v>
      </c>
      <c r="J437" s="67">
        <v>4909000</v>
      </c>
      <c r="K437" s="68">
        <f t="shared" si="2"/>
        <v>0.94764717865145653</v>
      </c>
      <c r="L437" s="66">
        <f t="shared" si="3"/>
        <v>0.40901516413931011</v>
      </c>
      <c r="M437" s="49">
        <v>0</v>
      </c>
    </row>
    <row r="438" spans="1:13" x14ac:dyDescent="0.2">
      <c r="A438" s="49" t="s">
        <v>280</v>
      </c>
      <c r="B438" s="49">
        <v>21</v>
      </c>
      <c r="C438" s="66">
        <v>8.5000000000000006E-2</v>
      </c>
      <c r="D438" s="49">
        <v>3.4</v>
      </c>
      <c r="E438" s="49">
        <v>0</v>
      </c>
      <c r="F438" s="49">
        <v>8.9</v>
      </c>
      <c r="G438" s="49">
        <v>18034000</v>
      </c>
      <c r="H438" s="67">
        <v>12194000</v>
      </c>
      <c r="I438" s="67">
        <v>32223000</v>
      </c>
      <c r="J438" s="67">
        <v>15395000</v>
      </c>
      <c r="K438" s="68">
        <f t="shared" si="2"/>
        <v>0.79207534913933098</v>
      </c>
      <c r="L438" s="66">
        <f t="shared" si="3"/>
        <v>0.47776432982652145</v>
      </c>
      <c r="M438" s="49">
        <v>0</v>
      </c>
    </row>
    <row r="439" spans="1:13" x14ac:dyDescent="0.2">
      <c r="A439" s="49" t="s">
        <v>280</v>
      </c>
      <c r="B439" s="49">
        <v>22</v>
      </c>
      <c r="C439" s="66">
        <v>0.1188</v>
      </c>
      <c r="D439" s="49">
        <v>14</v>
      </c>
      <c r="E439" s="49">
        <v>0</v>
      </c>
      <c r="F439" s="49">
        <v>9.02</v>
      </c>
      <c r="G439" s="49">
        <v>35644000</v>
      </c>
      <c r="H439" s="67">
        <v>18989000</v>
      </c>
      <c r="I439" s="67">
        <v>47482000</v>
      </c>
      <c r="J439" s="67">
        <v>19595000</v>
      </c>
      <c r="K439" s="68">
        <f t="shared" si="2"/>
        <v>0.96907374330186269</v>
      </c>
      <c r="L439" s="66">
        <f t="shared" si="3"/>
        <v>0.41268270081293962</v>
      </c>
      <c r="M439" s="49">
        <v>0</v>
      </c>
    </row>
    <row r="440" spans="1:13" x14ac:dyDescent="0.2">
      <c r="A440" s="49" t="s">
        <v>280</v>
      </c>
      <c r="B440" s="49">
        <v>23</v>
      </c>
      <c r="C440" s="66">
        <v>0.1351</v>
      </c>
      <c r="D440" s="49">
        <v>14.1</v>
      </c>
      <c r="E440" s="49">
        <v>0</v>
      </c>
      <c r="F440" s="49">
        <v>7.4</v>
      </c>
      <c r="G440" s="49">
        <v>37092000</v>
      </c>
      <c r="H440" s="67">
        <v>18762000</v>
      </c>
      <c r="I440" s="67">
        <v>44169000</v>
      </c>
      <c r="J440" s="67">
        <v>20435000</v>
      </c>
      <c r="K440" s="68">
        <f t="shared" si="2"/>
        <v>0.91813065818448736</v>
      </c>
      <c r="L440" s="66">
        <f t="shared" si="3"/>
        <v>0.46265480314247548</v>
      </c>
      <c r="M440" s="49">
        <v>0</v>
      </c>
    </row>
    <row r="441" spans="1:13" x14ac:dyDescent="0.2">
      <c r="A441" s="49" t="s">
        <v>284</v>
      </c>
      <c r="B441" s="49">
        <v>19</v>
      </c>
      <c r="C441" s="66">
        <v>0.10199999999999999</v>
      </c>
      <c r="D441" s="49">
        <v>3</v>
      </c>
      <c r="E441" s="49">
        <v>0</v>
      </c>
      <c r="F441" s="49" t="s">
        <v>458</v>
      </c>
      <c r="G441" s="49">
        <v>14316000</v>
      </c>
      <c r="H441" s="67">
        <v>6678000</v>
      </c>
      <c r="I441" s="67">
        <v>45658000</v>
      </c>
      <c r="J441" s="67">
        <v>16930000</v>
      </c>
      <c r="K441" s="68">
        <f t="shared" si="2"/>
        <v>0.39444772593030125</v>
      </c>
      <c r="L441" s="66">
        <f t="shared" si="3"/>
        <v>0.37080029786674845</v>
      </c>
      <c r="M441" s="49">
        <v>0</v>
      </c>
    </row>
    <row r="442" spans="1:13" x14ac:dyDescent="0.2">
      <c r="A442" s="49" t="s">
        <v>284</v>
      </c>
      <c r="B442" s="49">
        <v>20</v>
      </c>
      <c r="C442" s="66">
        <v>0.1</v>
      </c>
      <c r="D442" s="49">
        <v>0.5</v>
      </c>
      <c r="E442" s="49">
        <v>0</v>
      </c>
      <c r="F442" s="49" t="s">
        <v>459</v>
      </c>
      <c r="G442" s="49">
        <v>15662000</v>
      </c>
      <c r="H442" s="67">
        <v>5873000</v>
      </c>
      <c r="I442" s="67">
        <v>48283000</v>
      </c>
      <c r="J442" s="67">
        <v>20206000</v>
      </c>
      <c r="K442" s="68">
        <f t="shared" si="2"/>
        <v>0.29065624072057805</v>
      </c>
      <c r="L442" s="66">
        <f t="shared" si="3"/>
        <v>0.4184909802622041</v>
      </c>
      <c r="M442" s="49">
        <v>0</v>
      </c>
    </row>
    <row r="443" spans="1:13" x14ac:dyDescent="0.2">
      <c r="A443" s="49" t="s">
        <v>284</v>
      </c>
      <c r="B443" s="49">
        <v>21</v>
      </c>
      <c r="C443" s="66">
        <v>0.1</v>
      </c>
      <c r="D443" s="49">
        <v>3.4</v>
      </c>
      <c r="E443" s="49">
        <v>0</v>
      </c>
      <c r="F443" s="49" t="s">
        <v>460</v>
      </c>
      <c r="G443" s="49">
        <v>15561000</v>
      </c>
      <c r="H443" s="67">
        <v>6288000</v>
      </c>
      <c r="I443" s="67">
        <v>48661000</v>
      </c>
      <c r="J443" s="67">
        <v>23203000</v>
      </c>
      <c r="K443" s="68">
        <f t="shared" si="2"/>
        <v>0.27099943972762142</v>
      </c>
      <c r="L443" s="66">
        <f t="shared" si="3"/>
        <v>0.47682949384517376</v>
      </c>
      <c r="M443" s="49">
        <v>0</v>
      </c>
    </row>
    <row r="444" spans="1:13" x14ac:dyDescent="0.2">
      <c r="A444" s="49" t="s">
        <v>284</v>
      </c>
      <c r="B444" s="49">
        <v>22</v>
      </c>
      <c r="C444" s="66">
        <v>0.10100000000000001</v>
      </c>
      <c r="D444" s="49">
        <v>14</v>
      </c>
      <c r="E444" s="49">
        <v>0</v>
      </c>
      <c r="F444" s="49">
        <v>20.32</v>
      </c>
      <c r="G444" s="49">
        <v>18825000</v>
      </c>
      <c r="H444" s="67">
        <v>7007000</v>
      </c>
      <c r="I444" s="67">
        <v>52496000</v>
      </c>
      <c r="J444" s="67">
        <v>26525000</v>
      </c>
      <c r="K444" s="68">
        <f t="shared" si="2"/>
        <v>0.26416588124410934</v>
      </c>
      <c r="L444" s="66">
        <f t="shared" si="3"/>
        <v>0.50527659250228585</v>
      </c>
      <c r="M444" s="49">
        <v>0</v>
      </c>
    </row>
    <row r="445" spans="1:13" x14ac:dyDescent="0.2">
      <c r="A445" s="49" t="s">
        <v>284</v>
      </c>
      <c r="B445" s="49">
        <v>23</v>
      </c>
      <c r="C445" s="66">
        <v>0.10100000000000001</v>
      </c>
      <c r="D445" s="49">
        <v>14.1</v>
      </c>
      <c r="E445" s="49">
        <v>0</v>
      </c>
      <c r="F445" s="49">
        <v>19.010000000000002</v>
      </c>
      <c r="G445" s="49">
        <v>22132000</v>
      </c>
      <c r="H445" s="67">
        <v>9642000</v>
      </c>
      <c r="I445" s="67">
        <v>74027000</v>
      </c>
      <c r="J445" s="67">
        <v>33867000</v>
      </c>
      <c r="K445" s="68">
        <f t="shared" si="2"/>
        <v>0.28470192222517493</v>
      </c>
      <c r="L445" s="66">
        <f t="shared" si="3"/>
        <v>0.45749523822389127</v>
      </c>
      <c r="M445" s="49">
        <v>0</v>
      </c>
    </row>
    <row r="446" spans="1:13" x14ac:dyDescent="0.2">
      <c r="A446" s="49" t="s">
        <v>286</v>
      </c>
      <c r="B446" s="49">
        <v>19</v>
      </c>
      <c r="C446" s="66">
        <v>0.11</v>
      </c>
      <c r="D446" s="49">
        <v>3</v>
      </c>
      <c r="E446" s="49">
        <v>465000</v>
      </c>
      <c r="F446" s="49">
        <v>15.09</v>
      </c>
      <c r="G446" s="49">
        <v>27956000</v>
      </c>
      <c r="H446" s="67">
        <v>29744000</v>
      </c>
      <c r="I446" s="67">
        <v>79784000</v>
      </c>
      <c r="J446" s="67">
        <v>34805000</v>
      </c>
      <c r="K446" s="68">
        <f t="shared" si="2"/>
        <v>0.85458985777905472</v>
      </c>
      <c r="L446" s="66">
        <f t="shared" si="3"/>
        <v>0.43624034894214381</v>
      </c>
      <c r="M446" s="49">
        <v>1</v>
      </c>
    </row>
    <row r="447" spans="1:13" x14ac:dyDescent="0.2">
      <c r="A447" s="49" t="s">
        <v>286</v>
      </c>
      <c r="B447" s="49">
        <v>20</v>
      </c>
      <c r="C447" s="66">
        <v>0.09</v>
      </c>
      <c r="D447" s="49">
        <v>0.5</v>
      </c>
      <c r="E447" s="49">
        <v>0</v>
      </c>
      <c r="F447" s="49">
        <v>0.09</v>
      </c>
      <c r="G447" s="49">
        <v>29215000</v>
      </c>
      <c r="H447" s="67">
        <v>29651000</v>
      </c>
      <c r="I447" s="67">
        <v>75411000</v>
      </c>
      <c r="J447" s="67">
        <v>32751000</v>
      </c>
      <c r="K447" s="68">
        <f t="shared" si="2"/>
        <v>0.9053464016365913</v>
      </c>
      <c r="L447" s="66">
        <f t="shared" si="3"/>
        <v>0.43430003580379523</v>
      </c>
      <c r="M447" s="49">
        <v>0</v>
      </c>
    </row>
    <row r="448" spans="1:13" x14ac:dyDescent="0.2">
      <c r="A448" s="49" t="s">
        <v>286</v>
      </c>
      <c r="B448" s="49">
        <v>21</v>
      </c>
      <c r="C448" s="66">
        <v>7.0000000000000007E-2</v>
      </c>
      <c r="D448" s="49">
        <v>3.4</v>
      </c>
      <c r="E448" s="49">
        <v>0</v>
      </c>
      <c r="F448" s="49">
        <v>18.34</v>
      </c>
      <c r="G448" s="49">
        <v>27231000</v>
      </c>
      <c r="H448" s="67">
        <v>29695000</v>
      </c>
      <c r="I448" s="67">
        <v>74251000</v>
      </c>
      <c r="J448" s="67">
        <v>31142000</v>
      </c>
      <c r="K448" s="68">
        <f t="shared" si="2"/>
        <v>0.95353541840601119</v>
      </c>
      <c r="L448" s="66">
        <f t="shared" si="3"/>
        <v>0.41941522673095311</v>
      </c>
      <c r="M448" s="49">
        <v>0</v>
      </c>
    </row>
    <row r="449" spans="1:13" x14ac:dyDescent="0.2">
      <c r="A449" s="49" t="s">
        <v>286</v>
      </c>
      <c r="B449" s="49">
        <v>22</v>
      </c>
      <c r="C449" s="66">
        <v>0.08</v>
      </c>
      <c r="D449" s="49">
        <v>14</v>
      </c>
      <c r="E449" s="49">
        <v>0</v>
      </c>
      <c r="F449" s="49">
        <v>23.59</v>
      </c>
      <c r="G449" s="49">
        <v>30057000</v>
      </c>
      <c r="H449" s="67">
        <v>29905000</v>
      </c>
      <c r="I449" s="67">
        <v>67656000</v>
      </c>
      <c r="J449" s="67">
        <v>23683000</v>
      </c>
      <c r="K449" s="68">
        <f t="shared" si="2"/>
        <v>1.262720094582612</v>
      </c>
      <c r="L449" s="66">
        <f t="shared" si="3"/>
        <v>0.35005025422726738</v>
      </c>
      <c r="M449" s="49">
        <v>0</v>
      </c>
    </row>
    <row r="450" spans="1:13" x14ac:dyDescent="0.2">
      <c r="A450" s="49" t="s">
        <v>286</v>
      </c>
      <c r="B450" s="49">
        <v>23</v>
      </c>
      <c r="C450" s="66">
        <v>0.08</v>
      </c>
      <c r="D450" s="49">
        <v>14.1</v>
      </c>
      <c r="E450" s="49">
        <v>0</v>
      </c>
      <c r="F450" s="49">
        <v>19.38</v>
      </c>
      <c r="G450" s="49">
        <v>29486000</v>
      </c>
      <c r="H450" s="67">
        <v>29898000</v>
      </c>
      <c r="I450" s="67">
        <v>66059000</v>
      </c>
      <c r="J450" s="67">
        <v>22779000</v>
      </c>
      <c r="K450" s="68">
        <f t="shared" si="2"/>
        <v>1.3125246937969182</v>
      </c>
      <c r="L450" s="66">
        <f t="shared" si="3"/>
        <v>0.34482810820630044</v>
      </c>
      <c r="M450" s="49">
        <v>0</v>
      </c>
    </row>
    <row r="451" spans="1:13" x14ac:dyDescent="0.2">
      <c r="A451" s="49" t="s">
        <v>288</v>
      </c>
      <c r="B451" s="49">
        <v>19</v>
      </c>
      <c r="C451" s="66"/>
      <c r="D451" s="49">
        <v>3</v>
      </c>
      <c r="E451" s="49">
        <v>0</v>
      </c>
      <c r="F451" s="49">
        <v>5.05</v>
      </c>
      <c r="G451" s="49">
        <f>2.303*(10^8)</f>
        <v>230300000</v>
      </c>
      <c r="H451" s="67">
        <v>31200000</v>
      </c>
      <c r="I451" s="67">
        <f>2.764*(10^8)</f>
        <v>276400000</v>
      </c>
      <c r="J451" s="67">
        <v>82559000</v>
      </c>
      <c r="K451" s="68">
        <f t="shared" si="2"/>
        <v>0.37791155416126648</v>
      </c>
      <c r="L451" s="66">
        <f t="shared" si="3"/>
        <v>0.29869392185238786</v>
      </c>
      <c r="M451" s="49">
        <v>0</v>
      </c>
    </row>
    <row r="452" spans="1:13" x14ac:dyDescent="0.2">
      <c r="A452" s="49" t="s">
        <v>288</v>
      </c>
      <c r="B452" s="49">
        <v>20</v>
      </c>
      <c r="C452" s="66">
        <v>8.6699999999999999E-2</v>
      </c>
      <c r="D452" s="49">
        <v>0.5</v>
      </c>
      <c r="E452" s="49">
        <v>0</v>
      </c>
      <c r="F452" s="49">
        <v>13.07</v>
      </c>
      <c r="G452" s="49">
        <f>2.337*(10^8)</f>
        <v>233700000.00000003</v>
      </c>
      <c r="H452" s="67">
        <v>34945000</v>
      </c>
      <c r="I452" s="67">
        <f>2.715*(10^8)</f>
        <v>271500000</v>
      </c>
      <c r="J452" s="67">
        <v>86674000</v>
      </c>
      <c r="K452" s="68">
        <f t="shared" si="2"/>
        <v>0.4031774234487851</v>
      </c>
      <c r="L452" s="66">
        <f t="shared" si="3"/>
        <v>0.31924125230202577</v>
      </c>
      <c r="M452" s="49">
        <v>0</v>
      </c>
    </row>
    <row r="453" spans="1:13" x14ac:dyDescent="0.2">
      <c r="A453" s="49" t="s">
        <v>288</v>
      </c>
      <c r="B453" s="49">
        <v>21</v>
      </c>
      <c r="C453" s="66">
        <v>9.1399999999999995E-2</v>
      </c>
      <c r="D453" s="49">
        <v>3.4</v>
      </c>
      <c r="E453" s="49">
        <v>112000</v>
      </c>
      <c r="F453" s="49">
        <v>14.01</v>
      </c>
      <c r="G453" s="49">
        <f>2.338*(10^8)</f>
        <v>233800000</v>
      </c>
      <c r="H453" s="67">
        <v>38204000</v>
      </c>
      <c r="I453" s="67">
        <f>3.056*(10^8)</f>
        <v>305600000</v>
      </c>
      <c r="J453" s="67">
        <f>1.088*(10^8)</f>
        <v>108800000.00000001</v>
      </c>
      <c r="K453" s="68">
        <f t="shared" si="2"/>
        <v>0.35113970588235288</v>
      </c>
      <c r="L453" s="66">
        <f t="shared" si="3"/>
        <v>0.35602094240837701</v>
      </c>
      <c r="M453" s="49">
        <v>1</v>
      </c>
    </row>
    <row r="454" spans="1:13" x14ac:dyDescent="0.2">
      <c r="A454" s="49" t="s">
        <v>288</v>
      </c>
      <c r="B454" s="49">
        <v>22</v>
      </c>
      <c r="C454" s="66">
        <v>0.105</v>
      </c>
      <c r="D454" s="49">
        <v>14</v>
      </c>
      <c r="E454" s="49">
        <v>0</v>
      </c>
      <c r="F454" s="49">
        <v>10.43</v>
      </c>
      <c r="G454" s="49">
        <f>2.728*(10^8)</f>
        <v>272800000</v>
      </c>
      <c r="H454" s="67">
        <v>84570000</v>
      </c>
      <c r="I454" s="67">
        <f>3.495*(10^8)</f>
        <v>349500000</v>
      </c>
      <c r="J454" s="67">
        <f>1.348*(10^8)</f>
        <v>134800000</v>
      </c>
      <c r="K454" s="68">
        <f t="shared" si="2"/>
        <v>0.62737388724035603</v>
      </c>
      <c r="L454" s="66">
        <f t="shared" si="3"/>
        <v>0.38569384835479253</v>
      </c>
      <c r="M454" s="49">
        <v>0</v>
      </c>
    </row>
    <row r="455" spans="1:13" x14ac:dyDescent="0.2">
      <c r="A455" s="49" t="s">
        <v>288</v>
      </c>
      <c r="B455" s="49">
        <v>23</v>
      </c>
      <c r="C455" s="66">
        <v>0.1143</v>
      </c>
      <c r="D455" s="49">
        <v>14.1</v>
      </c>
      <c r="E455" s="49">
        <v>31897000</v>
      </c>
      <c r="F455" s="49">
        <v>-6.9</v>
      </c>
      <c r="G455" s="49">
        <f>2.645*(10^8)</f>
        <v>264500000</v>
      </c>
      <c r="H455" s="67">
        <v>52944000</v>
      </c>
      <c r="I455" s="67">
        <f>2.97*(10^8)</f>
        <v>297000000</v>
      </c>
      <c r="J455" s="67">
        <v>98673000</v>
      </c>
      <c r="K455" s="68">
        <f t="shared" si="2"/>
        <v>0.53656015323340733</v>
      </c>
      <c r="L455" s="66">
        <f t="shared" si="3"/>
        <v>0.33223232323232321</v>
      </c>
      <c r="M455" s="49">
        <v>1</v>
      </c>
    </row>
    <row r="456" spans="1:13" x14ac:dyDescent="0.2">
      <c r="A456" s="49" t="s">
        <v>291</v>
      </c>
      <c r="B456" s="49">
        <v>19</v>
      </c>
      <c r="C456" s="66">
        <v>4.7300000000000002E-2</v>
      </c>
      <c r="D456" s="49">
        <v>3</v>
      </c>
      <c r="E456" s="49">
        <v>0</v>
      </c>
      <c r="F456" s="49">
        <v>15.26</v>
      </c>
      <c r="G456" s="49">
        <v>87670000</v>
      </c>
      <c r="H456" s="67">
        <v>75696000</v>
      </c>
      <c r="I456" s="67">
        <f>2.641*(10^8)</f>
        <v>264100000</v>
      </c>
      <c r="J456" s="67">
        <v>91046000</v>
      </c>
      <c r="K456" s="68">
        <f t="shared" si="2"/>
        <v>0.83140390571798872</v>
      </c>
      <c r="L456" s="66">
        <f t="shared" si="3"/>
        <v>0.34474062854979176</v>
      </c>
      <c r="M456" s="49">
        <v>0</v>
      </c>
    </row>
    <row r="457" spans="1:13" x14ac:dyDescent="0.2">
      <c r="A457" s="49" t="s">
        <v>291</v>
      </c>
      <c r="B457" s="49">
        <v>20</v>
      </c>
      <c r="C457" s="66">
        <v>5.1799999999999999E-2</v>
      </c>
      <c r="D457" s="49">
        <v>0.5</v>
      </c>
      <c r="E457" s="49">
        <v>7835000</v>
      </c>
      <c r="F457" s="49" t="s">
        <v>461</v>
      </c>
      <c r="G457" s="49">
        <v>90271000</v>
      </c>
      <c r="H457" s="67">
        <v>63313000</v>
      </c>
      <c r="I457" s="67">
        <f>2.267*(10^8)</f>
        <v>226700000</v>
      </c>
      <c r="J457" s="67">
        <v>62836000</v>
      </c>
      <c r="K457" s="68">
        <f t="shared" si="2"/>
        <v>1.0075911897638297</v>
      </c>
      <c r="L457" s="66">
        <f t="shared" si="3"/>
        <v>0.27717688575209526</v>
      </c>
      <c r="M457" s="49">
        <v>1</v>
      </c>
    </row>
    <row r="458" spans="1:13" x14ac:dyDescent="0.2">
      <c r="A458" s="49" t="s">
        <v>291</v>
      </c>
      <c r="B458" s="49">
        <v>21</v>
      </c>
      <c r="C458" s="66">
        <v>5.0999999999999997E-2</v>
      </c>
      <c r="D458" s="49">
        <v>3.4</v>
      </c>
      <c r="E458" s="49">
        <v>0</v>
      </c>
      <c r="F458" s="49">
        <v>17.7</v>
      </c>
      <c r="G458" s="49">
        <v>95918000</v>
      </c>
      <c r="H458" s="67">
        <v>66302000</v>
      </c>
      <c r="I458" s="67">
        <f>2.37*(10^8)</f>
        <v>237000000</v>
      </c>
      <c r="J458" s="67">
        <v>80732000</v>
      </c>
      <c r="K458" s="68">
        <f t="shared" si="2"/>
        <v>0.82126046672942576</v>
      </c>
      <c r="L458" s="66">
        <f t="shared" si="3"/>
        <v>0.34064135021097047</v>
      </c>
      <c r="M458" s="49">
        <v>0</v>
      </c>
    </row>
    <row r="459" spans="1:13" x14ac:dyDescent="0.2">
      <c r="A459" s="49" t="s">
        <v>291</v>
      </c>
      <c r="B459" s="49">
        <v>22</v>
      </c>
      <c r="C459" s="66">
        <v>6.6500000000000004E-2</v>
      </c>
      <c r="D459" s="49">
        <v>14</v>
      </c>
      <c r="E459" s="49">
        <v>19100000</v>
      </c>
      <c r="F459" s="49" t="s">
        <v>462</v>
      </c>
      <c r="G459" s="49">
        <v>92001000</v>
      </c>
      <c r="H459" s="67">
        <v>50583000</v>
      </c>
      <c r="I459" s="67">
        <f>2.228*(10^8)</f>
        <v>222800000.00000003</v>
      </c>
      <c r="J459" s="67">
        <v>64239000</v>
      </c>
      <c r="K459" s="68">
        <f t="shared" si="2"/>
        <v>0.78741885770326436</v>
      </c>
      <c r="L459" s="66">
        <f t="shared" si="3"/>
        <v>0.28832585278276479</v>
      </c>
      <c r="M459" s="49">
        <v>1</v>
      </c>
    </row>
    <row r="460" spans="1:13" x14ac:dyDescent="0.2">
      <c r="A460" s="49" t="s">
        <v>291</v>
      </c>
      <c r="B460" s="49">
        <v>23</v>
      </c>
      <c r="C460" s="66">
        <v>6.0600000000000001E-2</v>
      </c>
      <c r="D460" s="49">
        <v>14.1</v>
      </c>
      <c r="E460" s="49">
        <v>3700000</v>
      </c>
      <c r="F460" s="49">
        <v>7.32</v>
      </c>
      <c r="G460" s="49">
        <v>89643000</v>
      </c>
      <c r="H460" s="67">
        <v>43777000</v>
      </c>
      <c r="I460" s="67">
        <f>2.265*(10^8)</f>
        <v>226500000</v>
      </c>
      <c r="J460" s="67">
        <v>53466000</v>
      </c>
      <c r="K460" s="68">
        <f t="shared" si="2"/>
        <v>0.81878202970111846</v>
      </c>
      <c r="L460" s="66">
        <f t="shared" si="3"/>
        <v>0.23605298013245032</v>
      </c>
      <c r="M460" s="49">
        <v>1</v>
      </c>
    </row>
    <row r="461" spans="1:13" x14ac:dyDescent="0.2">
      <c r="A461" s="49" t="s">
        <v>293</v>
      </c>
      <c r="B461" s="49">
        <v>19</v>
      </c>
      <c r="C461" s="66">
        <v>9.6000000000000002E-2</v>
      </c>
      <c r="D461" s="49">
        <v>3</v>
      </c>
      <c r="E461" s="49">
        <v>0</v>
      </c>
      <c r="F461" s="49">
        <v>17.12</v>
      </c>
      <c r="G461" s="49">
        <v>7038000</v>
      </c>
      <c r="H461" s="67">
        <v>4620000</v>
      </c>
      <c r="I461" s="67">
        <v>8285000</v>
      </c>
      <c r="J461" s="67">
        <v>4330000</v>
      </c>
      <c r="K461" s="68">
        <f t="shared" si="2"/>
        <v>1.0669745958429562</v>
      </c>
      <c r="L461" s="66">
        <f t="shared" si="3"/>
        <v>0.52263126131563065</v>
      </c>
      <c r="M461" s="49">
        <v>0</v>
      </c>
    </row>
    <row r="462" spans="1:13" x14ac:dyDescent="0.2">
      <c r="A462" s="49" t="s">
        <v>293</v>
      </c>
      <c r="B462" s="49">
        <v>20</v>
      </c>
      <c r="C462" s="66">
        <v>9.8000000000000004E-2</v>
      </c>
      <c r="D462" s="49">
        <v>0.5</v>
      </c>
      <c r="E462" s="49">
        <v>0</v>
      </c>
      <c r="F462" s="49">
        <v>20.46</v>
      </c>
      <c r="G462" s="49">
        <v>7828000</v>
      </c>
      <c r="H462" s="67">
        <v>4256000</v>
      </c>
      <c r="I462" s="67">
        <v>8448000</v>
      </c>
      <c r="J462" s="67">
        <v>5253000</v>
      </c>
      <c r="K462" s="68">
        <f t="shared" si="2"/>
        <v>0.81020369312773655</v>
      </c>
      <c r="L462" s="66">
        <f t="shared" si="3"/>
        <v>0.62180397727272729</v>
      </c>
      <c r="M462" s="49">
        <v>0</v>
      </c>
    </row>
    <row r="463" spans="1:13" x14ac:dyDescent="0.2">
      <c r="A463" s="49" t="s">
        <v>293</v>
      </c>
      <c r="B463" s="49">
        <v>21</v>
      </c>
      <c r="C463" s="66">
        <v>8.3000000000000004E-2</v>
      </c>
      <c r="D463" s="49">
        <v>3.4</v>
      </c>
      <c r="E463" s="49">
        <v>0</v>
      </c>
      <c r="F463" s="49">
        <v>23.07</v>
      </c>
      <c r="G463" s="49">
        <v>10401000</v>
      </c>
      <c r="H463" s="67">
        <v>4518000</v>
      </c>
      <c r="I463" s="67">
        <v>10192000</v>
      </c>
      <c r="J463" s="67">
        <v>5815000</v>
      </c>
      <c r="K463" s="68">
        <f t="shared" si="2"/>
        <v>0.77695614789337919</v>
      </c>
      <c r="L463" s="66">
        <f t="shared" si="3"/>
        <v>0.57054552590266872</v>
      </c>
      <c r="M463" s="49">
        <v>0</v>
      </c>
    </row>
    <row r="464" spans="1:13" x14ac:dyDescent="0.2">
      <c r="A464" s="49" t="s">
        <v>293</v>
      </c>
      <c r="B464" s="49">
        <v>22</v>
      </c>
      <c r="C464" s="66">
        <v>8.8999999999999996E-2</v>
      </c>
      <c r="D464" s="49">
        <v>14</v>
      </c>
      <c r="E464" s="49">
        <v>0</v>
      </c>
      <c r="F464" s="49">
        <v>17.14</v>
      </c>
      <c r="G464" s="49">
        <v>10138000</v>
      </c>
      <c r="H464" s="67">
        <v>4963000</v>
      </c>
      <c r="I464" s="67">
        <v>11679000</v>
      </c>
      <c r="J464" s="67">
        <v>6553000</v>
      </c>
      <c r="K464" s="68">
        <f t="shared" si="2"/>
        <v>0.75736303982908593</v>
      </c>
      <c r="L464" s="66">
        <f t="shared" si="3"/>
        <v>0.56109255929446011</v>
      </c>
      <c r="M464" s="49">
        <v>0</v>
      </c>
    </row>
    <row r="465" spans="1:13" x14ac:dyDescent="0.2">
      <c r="A465" s="49" t="s">
        <v>293</v>
      </c>
      <c r="B465" s="49">
        <v>23</v>
      </c>
      <c r="C465" s="66">
        <v>9.9000000000000005E-2</v>
      </c>
      <c r="D465" s="49">
        <v>14.1</v>
      </c>
      <c r="E465" s="49">
        <v>0</v>
      </c>
      <c r="F465" s="49">
        <v>17.350000000000001</v>
      </c>
      <c r="G465" s="49">
        <v>9132000</v>
      </c>
      <c r="H465" s="67">
        <v>4857000</v>
      </c>
      <c r="I465" s="67">
        <v>10966000</v>
      </c>
      <c r="J465" s="67">
        <v>6849000</v>
      </c>
      <c r="K465" s="68">
        <f t="shared" si="2"/>
        <v>0.70915462111257122</v>
      </c>
      <c r="L465" s="66">
        <f t="shared" si="3"/>
        <v>0.62456684296917742</v>
      </c>
      <c r="M465" s="49">
        <v>0</v>
      </c>
    </row>
    <row r="466" spans="1:13" x14ac:dyDescent="0.2">
      <c r="A466" s="49" t="s">
        <v>295</v>
      </c>
      <c r="B466" s="49">
        <v>19</v>
      </c>
      <c r="C466" s="66">
        <v>7.6999999999999999E-2</v>
      </c>
      <c r="D466" s="49">
        <v>3</v>
      </c>
      <c r="E466" s="49">
        <v>2327000</v>
      </c>
      <c r="F466" s="49">
        <v>3.24</v>
      </c>
      <c r="G466" s="49">
        <v>37040000</v>
      </c>
      <c r="H466" s="67">
        <v>19198000</v>
      </c>
      <c r="I466" s="67">
        <v>56341000</v>
      </c>
      <c r="J466" s="67">
        <v>29216000</v>
      </c>
      <c r="K466" s="68">
        <f t="shared" si="2"/>
        <v>0.65710569550930997</v>
      </c>
      <c r="L466" s="66">
        <f t="shared" si="3"/>
        <v>0.51855664613691632</v>
      </c>
      <c r="M466" s="49">
        <v>1</v>
      </c>
    </row>
    <row r="467" spans="1:13" x14ac:dyDescent="0.2">
      <c r="A467" s="49" t="s">
        <v>295</v>
      </c>
      <c r="B467" s="49">
        <v>20</v>
      </c>
      <c r="C467" s="66">
        <v>7.6999999999999999E-2</v>
      </c>
      <c r="D467" s="49">
        <v>0.5</v>
      </c>
      <c r="E467" s="49">
        <v>3000</v>
      </c>
      <c r="F467" s="49">
        <v>12.25</v>
      </c>
      <c r="G467" s="49">
        <v>33442000</v>
      </c>
      <c r="H467" s="67">
        <v>17867000</v>
      </c>
      <c r="I467" s="67">
        <v>53764000</v>
      </c>
      <c r="J467" s="67">
        <v>28945000</v>
      </c>
      <c r="K467" s="68">
        <f t="shared" si="2"/>
        <v>0.61727414061150454</v>
      </c>
      <c r="L467" s="66">
        <f t="shared" si="3"/>
        <v>0.5383714009374303</v>
      </c>
      <c r="M467" s="49">
        <v>1</v>
      </c>
    </row>
    <row r="468" spans="1:13" x14ac:dyDescent="0.2">
      <c r="A468" s="49" t="s">
        <v>295</v>
      </c>
      <c r="B468" s="49">
        <v>21</v>
      </c>
      <c r="C468" s="66">
        <v>7.6999999999999999E-2</v>
      </c>
      <c r="D468" s="49">
        <v>3.4</v>
      </c>
      <c r="E468" s="49">
        <v>12000</v>
      </c>
      <c r="F468" s="49">
        <v>15.17</v>
      </c>
      <c r="G468" s="49">
        <v>34432000</v>
      </c>
      <c r="H468" s="67">
        <v>18792000</v>
      </c>
      <c r="I468" s="67">
        <v>55640000</v>
      </c>
      <c r="J468" s="67">
        <v>32990000</v>
      </c>
      <c r="K468" s="68">
        <f t="shared" si="2"/>
        <v>0.56962715974537736</v>
      </c>
      <c r="L468" s="66">
        <f t="shared" si="3"/>
        <v>0.59291876347951111</v>
      </c>
      <c r="M468" s="49">
        <v>1</v>
      </c>
    </row>
    <row r="469" spans="1:13" x14ac:dyDescent="0.2">
      <c r="A469" s="49" t="s">
        <v>295</v>
      </c>
      <c r="B469" s="49">
        <v>22</v>
      </c>
      <c r="C469" s="66">
        <v>8.6999999999999994E-2</v>
      </c>
      <c r="D469" s="49">
        <v>14</v>
      </c>
      <c r="E469" s="49">
        <v>0</v>
      </c>
      <c r="F469" s="49">
        <v>17.09</v>
      </c>
      <c r="G469" s="49">
        <v>30395000</v>
      </c>
      <c r="H469" s="67">
        <v>20818000</v>
      </c>
      <c r="I469" s="67">
        <v>77066000</v>
      </c>
      <c r="J469" s="67">
        <v>37482000</v>
      </c>
      <c r="K469" s="68">
        <f t="shared" si="2"/>
        <v>0.55541326503388289</v>
      </c>
      <c r="L469" s="66">
        <f t="shared" si="3"/>
        <v>0.48636233877455687</v>
      </c>
      <c r="M469" s="49">
        <v>0</v>
      </c>
    </row>
    <row r="470" spans="1:13" x14ac:dyDescent="0.2">
      <c r="A470" s="49" t="s">
        <v>295</v>
      </c>
      <c r="B470" s="49">
        <v>23</v>
      </c>
      <c r="C470" s="66">
        <v>8.6999999999999994E-2</v>
      </c>
      <c r="D470" s="49">
        <v>14.1</v>
      </c>
      <c r="E470" s="49">
        <v>0</v>
      </c>
      <c r="F470" s="49">
        <v>16.16</v>
      </c>
      <c r="G470" s="49">
        <v>35078000</v>
      </c>
      <c r="H470" s="67">
        <v>20491000</v>
      </c>
      <c r="I470" s="67">
        <v>59503000</v>
      </c>
      <c r="J470" s="67">
        <v>41722000</v>
      </c>
      <c r="K470" s="68">
        <f t="shared" si="2"/>
        <v>0.49113177700014382</v>
      </c>
      <c r="L470" s="66">
        <f t="shared" si="3"/>
        <v>0.70117473068584779</v>
      </c>
      <c r="M470" s="49">
        <v>0</v>
      </c>
    </row>
    <row r="471" spans="1:13" x14ac:dyDescent="0.2">
      <c r="A471" s="49" t="s">
        <v>297</v>
      </c>
      <c r="B471" s="49">
        <v>19</v>
      </c>
      <c r="C471" s="66">
        <v>8.5000000000000006E-2</v>
      </c>
      <c r="D471" s="49">
        <v>3</v>
      </c>
      <c r="E471" s="49">
        <v>0</v>
      </c>
      <c r="F471" s="49">
        <v>20.02</v>
      </c>
      <c r="G471" s="49">
        <v>1755543</v>
      </c>
      <c r="H471" s="67">
        <v>862362</v>
      </c>
      <c r="I471" s="67">
        <v>2302757</v>
      </c>
      <c r="J471" s="67">
        <v>999999</v>
      </c>
      <c r="K471" s="68">
        <f t="shared" si="2"/>
        <v>0.86236286236286241</v>
      </c>
      <c r="L471" s="66">
        <f t="shared" si="3"/>
        <v>0.43426162638958432</v>
      </c>
      <c r="M471" s="49">
        <v>0</v>
      </c>
    </row>
    <row r="472" spans="1:13" x14ac:dyDescent="0.2">
      <c r="A472" s="49" t="s">
        <v>297</v>
      </c>
      <c r="B472" s="49">
        <v>20</v>
      </c>
      <c r="C472" s="66">
        <v>8.5000000000000006E-2</v>
      </c>
      <c r="D472" s="49">
        <v>0.5</v>
      </c>
      <c r="E472" s="49">
        <v>0</v>
      </c>
      <c r="F472" s="49">
        <v>19.25</v>
      </c>
      <c r="G472" s="49">
        <v>1660837</v>
      </c>
      <c r="H472" s="67">
        <v>883179</v>
      </c>
      <c r="I472" s="67">
        <v>2461835</v>
      </c>
      <c r="J472" s="67">
        <v>1144251</v>
      </c>
      <c r="K472" s="68">
        <f t="shared" si="2"/>
        <v>0.77184026931154093</v>
      </c>
      <c r="L472" s="66">
        <f t="shared" si="3"/>
        <v>0.46479597535984335</v>
      </c>
      <c r="M472" s="49">
        <v>0</v>
      </c>
    </row>
    <row r="473" spans="1:13" x14ac:dyDescent="0.2">
      <c r="A473" s="49" t="s">
        <v>297</v>
      </c>
      <c r="B473" s="49">
        <v>21</v>
      </c>
      <c r="C473" s="66">
        <v>8.5000000000000006E-2</v>
      </c>
      <c r="D473" s="49">
        <v>3.4</v>
      </c>
      <c r="E473" s="49">
        <v>0</v>
      </c>
      <c r="F473" s="49">
        <v>21.18</v>
      </c>
      <c r="G473" s="49">
        <v>2592106</v>
      </c>
      <c r="H473" s="67">
        <v>903287</v>
      </c>
      <c r="I473" s="67">
        <v>2986148</v>
      </c>
      <c r="J473" s="67">
        <v>1461283</v>
      </c>
      <c r="K473" s="68">
        <f t="shared" si="2"/>
        <v>0.61814651918895924</v>
      </c>
      <c r="L473" s="66">
        <f t="shared" si="3"/>
        <v>0.4893538431450819</v>
      </c>
      <c r="M473" s="49">
        <v>0</v>
      </c>
    </row>
    <row r="474" spans="1:13" x14ac:dyDescent="0.2">
      <c r="A474" s="49" t="s">
        <v>297</v>
      </c>
      <c r="B474" s="49">
        <v>22</v>
      </c>
      <c r="C474" s="66">
        <v>8.5000000000000006E-2</v>
      </c>
      <c r="D474" s="49">
        <v>14</v>
      </c>
      <c r="E474" s="49">
        <v>0</v>
      </c>
      <c r="F474" s="49">
        <v>17.440000000000001</v>
      </c>
      <c r="G474" s="49">
        <v>3176208</v>
      </c>
      <c r="H474" s="67">
        <v>964838</v>
      </c>
      <c r="I474" s="67">
        <v>3237300</v>
      </c>
      <c r="J474" s="67">
        <v>1722489</v>
      </c>
      <c r="K474" s="68">
        <f t="shared" si="2"/>
        <v>0.56014174836530162</v>
      </c>
      <c r="L474" s="66">
        <f t="shared" si="3"/>
        <v>0.53207580391066633</v>
      </c>
      <c r="M474" s="49">
        <v>0</v>
      </c>
    </row>
    <row r="475" spans="1:13" x14ac:dyDescent="0.2">
      <c r="A475" s="49" t="s">
        <v>297</v>
      </c>
      <c r="B475" s="49">
        <v>23</v>
      </c>
      <c r="C475" s="66">
        <v>8.5000000000000006E-2</v>
      </c>
      <c r="D475" s="49">
        <v>14.1</v>
      </c>
      <c r="E475" s="49">
        <v>0</v>
      </c>
      <c r="F475" s="49">
        <v>19.27</v>
      </c>
      <c r="G475" s="49">
        <v>2943724</v>
      </c>
      <c r="H475" s="67">
        <v>1149645</v>
      </c>
      <c r="I475" s="67">
        <v>3632442</v>
      </c>
      <c r="J475" s="67">
        <v>1911674</v>
      </c>
      <c r="K475" s="68">
        <f t="shared" si="2"/>
        <v>0.60138130246056598</v>
      </c>
      <c r="L475" s="66">
        <f t="shared" si="3"/>
        <v>0.52627791441680283</v>
      </c>
      <c r="M475" s="49">
        <v>0</v>
      </c>
    </row>
    <row r="476" spans="1:13" x14ac:dyDescent="0.2">
      <c r="A476" s="49" t="s">
        <v>304</v>
      </c>
      <c r="B476" s="49">
        <v>19</v>
      </c>
      <c r="C476" s="66">
        <v>0.08</v>
      </c>
      <c r="D476" s="49">
        <v>3</v>
      </c>
      <c r="E476" s="49">
        <v>0</v>
      </c>
      <c r="F476" s="49">
        <v>12.17</v>
      </c>
      <c r="G476" s="49">
        <v>3734149</v>
      </c>
      <c r="H476" s="67">
        <v>1143333</v>
      </c>
      <c r="I476" s="67">
        <v>4198643</v>
      </c>
      <c r="J476" s="67">
        <v>2427667</v>
      </c>
      <c r="K476" s="68">
        <f t="shared" si="2"/>
        <v>0.47095956735417172</v>
      </c>
      <c r="L476" s="66">
        <f t="shared" si="3"/>
        <v>0.57820276694160466</v>
      </c>
      <c r="M476" s="49">
        <v>0</v>
      </c>
    </row>
    <row r="477" spans="1:13" x14ac:dyDescent="0.2">
      <c r="A477" s="49" t="s">
        <v>304</v>
      </c>
      <c r="B477" s="49">
        <v>20</v>
      </c>
      <c r="C477" s="66">
        <v>0.08</v>
      </c>
      <c r="D477" s="49">
        <v>0.5</v>
      </c>
      <c r="E477" s="49">
        <v>0</v>
      </c>
      <c r="F477" s="49">
        <v>11.43</v>
      </c>
      <c r="G477" s="49">
        <v>3155054</v>
      </c>
      <c r="H477" s="67">
        <v>1102101</v>
      </c>
      <c r="I477" s="67">
        <v>4257250</v>
      </c>
      <c r="J477" s="67">
        <v>2500181</v>
      </c>
      <c r="K477" s="68">
        <f t="shared" si="2"/>
        <v>0.44080848546565227</v>
      </c>
      <c r="L477" s="66">
        <f t="shared" si="3"/>
        <v>0.58727605848846087</v>
      </c>
      <c r="M477" s="49">
        <v>0</v>
      </c>
    </row>
    <row r="478" spans="1:13" x14ac:dyDescent="0.2">
      <c r="A478" s="49" t="s">
        <v>304</v>
      </c>
      <c r="B478" s="49">
        <v>21</v>
      </c>
      <c r="C478" s="66">
        <v>0.08</v>
      </c>
      <c r="D478" s="49">
        <v>3.4</v>
      </c>
      <c r="E478" s="49">
        <v>0</v>
      </c>
      <c r="F478" s="49">
        <v>13.15</v>
      </c>
      <c r="G478" s="49">
        <v>3620762</v>
      </c>
      <c r="H478" s="67">
        <v>1169824</v>
      </c>
      <c r="I478" s="67">
        <v>4663542</v>
      </c>
      <c r="J478" s="67">
        <v>4664542</v>
      </c>
      <c r="K478" s="68">
        <f t="shared" si="2"/>
        <v>0.25079075287563068</v>
      </c>
      <c r="L478" s="66">
        <f t="shared" si="3"/>
        <v>1.0002144292900117</v>
      </c>
      <c r="M478" s="49">
        <v>0</v>
      </c>
    </row>
    <row r="479" spans="1:13" x14ac:dyDescent="0.2">
      <c r="A479" s="49" t="s">
        <v>304</v>
      </c>
      <c r="B479" s="49">
        <v>22</v>
      </c>
      <c r="C479" s="66">
        <v>0.08</v>
      </c>
      <c r="D479" s="49">
        <v>14</v>
      </c>
      <c r="E479" s="49">
        <v>0</v>
      </c>
      <c r="F479" s="49">
        <v>11.7</v>
      </c>
      <c r="G479" s="49">
        <v>4654717</v>
      </c>
      <c r="H479" s="67">
        <v>1226799</v>
      </c>
      <c r="I479" s="67">
        <v>5412016</v>
      </c>
      <c r="J479" s="67">
        <v>3288280</v>
      </c>
      <c r="K479" s="68">
        <f t="shared" si="2"/>
        <v>0.37308228009780187</v>
      </c>
      <c r="L479" s="66">
        <f t="shared" si="3"/>
        <v>0.60758874327052992</v>
      </c>
      <c r="M479" s="49">
        <v>0</v>
      </c>
    </row>
    <row r="480" spans="1:13" x14ac:dyDescent="0.2">
      <c r="A480" s="49" t="s">
        <v>304</v>
      </c>
      <c r="B480" s="49">
        <v>23</v>
      </c>
      <c r="C480" s="66">
        <v>9.7000000000000003E-2</v>
      </c>
      <c r="D480" s="49">
        <v>14.1</v>
      </c>
      <c r="E480" s="49">
        <v>0</v>
      </c>
      <c r="F480" s="49">
        <v>15.38</v>
      </c>
      <c r="G480" s="49">
        <v>5762035</v>
      </c>
      <c r="H480" s="67">
        <v>1291286</v>
      </c>
      <c r="I480" s="67">
        <v>5984967</v>
      </c>
      <c r="J480" s="67">
        <v>3674079</v>
      </c>
      <c r="K480" s="68">
        <f t="shared" si="2"/>
        <v>0.35145841991965876</v>
      </c>
      <c r="L480" s="66">
        <f t="shared" si="3"/>
        <v>0.61388458783482014</v>
      </c>
      <c r="M480" s="49">
        <v>0</v>
      </c>
    </row>
    <row r="481" spans="1:13" x14ac:dyDescent="0.2">
      <c r="A481" s="49" t="s">
        <v>306</v>
      </c>
      <c r="B481" s="49">
        <v>19</v>
      </c>
      <c r="C481" s="66">
        <v>8.7999999999999995E-2</v>
      </c>
      <c r="D481" s="49">
        <v>3</v>
      </c>
      <c r="E481" s="49">
        <v>0</v>
      </c>
      <c r="F481" s="49">
        <v>5.31</v>
      </c>
      <c r="G481" s="49">
        <v>15838000</v>
      </c>
      <c r="H481" s="67">
        <v>2311000</v>
      </c>
      <c r="I481" s="67">
        <v>14697000</v>
      </c>
      <c r="J481" s="67">
        <v>1435000</v>
      </c>
      <c r="K481" s="68">
        <f t="shared" si="2"/>
        <v>1.6104529616724739</v>
      </c>
      <c r="L481" s="66">
        <f t="shared" si="3"/>
        <v>9.7638973940259915E-2</v>
      </c>
      <c r="M481" s="49">
        <v>0</v>
      </c>
    </row>
    <row r="482" spans="1:13" x14ac:dyDescent="0.2">
      <c r="A482" s="49" t="s">
        <v>306</v>
      </c>
      <c r="B482" s="49">
        <v>20</v>
      </c>
      <c r="C482" s="66">
        <v>9.2999999999999999E-2</v>
      </c>
      <c r="D482" s="49">
        <v>0.5</v>
      </c>
      <c r="E482" s="49">
        <v>187000</v>
      </c>
      <c r="F482" s="49" t="s">
        <v>463</v>
      </c>
      <c r="G482" s="49">
        <v>12254000</v>
      </c>
      <c r="H482" s="67">
        <v>1309000</v>
      </c>
      <c r="I482" s="67">
        <v>15949000</v>
      </c>
      <c r="J482" s="67">
        <v>3236000</v>
      </c>
      <c r="K482" s="68">
        <f t="shared" si="2"/>
        <v>0.40451174289245984</v>
      </c>
      <c r="L482" s="66">
        <f t="shared" si="3"/>
        <v>0.20289673333751332</v>
      </c>
      <c r="M482" s="49">
        <v>1</v>
      </c>
    </row>
    <row r="483" spans="1:13" x14ac:dyDescent="0.2">
      <c r="A483" s="49" t="s">
        <v>306</v>
      </c>
      <c r="B483" s="49">
        <v>21</v>
      </c>
      <c r="C483" s="66">
        <v>0.106</v>
      </c>
      <c r="D483" s="49">
        <v>3.4</v>
      </c>
      <c r="E483" s="49">
        <v>0</v>
      </c>
      <c r="F483" s="49">
        <v>5.08</v>
      </c>
      <c r="G483" s="49">
        <v>12771000</v>
      </c>
      <c r="H483" s="67">
        <v>1338000</v>
      </c>
      <c r="I483" s="67">
        <v>19527000</v>
      </c>
      <c r="J483" s="67">
        <v>8323000</v>
      </c>
      <c r="K483" s="68">
        <f t="shared" si="2"/>
        <v>0.16075934158356361</v>
      </c>
      <c r="L483" s="66">
        <f t="shared" si="3"/>
        <v>0.42623034772366469</v>
      </c>
      <c r="M483" s="49">
        <v>0</v>
      </c>
    </row>
    <row r="484" spans="1:13" x14ac:dyDescent="0.2">
      <c r="A484" s="49" t="s">
        <v>306</v>
      </c>
      <c r="B484" s="49">
        <v>22</v>
      </c>
      <c r="C484" s="66">
        <v>0.115</v>
      </c>
      <c r="D484" s="49">
        <v>14</v>
      </c>
      <c r="E484" s="49">
        <v>0</v>
      </c>
      <c r="F484" s="49">
        <v>3.31</v>
      </c>
      <c r="G484" s="49">
        <v>16696000</v>
      </c>
      <c r="H484" s="67">
        <v>1805000</v>
      </c>
      <c r="I484" s="67">
        <v>21863000</v>
      </c>
      <c r="J484" s="67">
        <v>8911000</v>
      </c>
      <c r="K484" s="68">
        <f t="shared" si="2"/>
        <v>0.20255863539445629</v>
      </c>
      <c r="L484" s="66">
        <f t="shared" si="3"/>
        <v>0.40758358871152173</v>
      </c>
      <c r="M484" s="49">
        <v>0</v>
      </c>
    </row>
    <row r="485" spans="1:13" x14ac:dyDescent="0.2">
      <c r="A485" s="49" t="s">
        <v>306</v>
      </c>
      <c r="B485" s="49">
        <v>23</v>
      </c>
      <c r="C485" s="66">
        <v>0.153</v>
      </c>
      <c r="D485" s="49">
        <v>14.1</v>
      </c>
      <c r="E485" s="49">
        <v>0</v>
      </c>
      <c r="F485" s="49" t="s">
        <v>464</v>
      </c>
      <c r="G485" s="49">
        <v>18852000</v>
      </c>
      <c r="H485" s="67">
        <v>1293000</v>
      </c>
      <c r="I485" s="67">
        <v>19717000</v>
      </c>
      <c r="J485" s="67">
        <v>-1090000</v>
      </c>
      <c r="K485" s="68">
        <f t="shared" si="2"/>
        <v>-1.1862385321100917</v>
      </c>
      <c r="L485" s="66">
        <f t="shared" si="3"/>
        <v>-5.5282243749049047E-2</v>
      </c>
      <c r="M485" s="49">
        <v>0</v>
      </c>
    </row>
    <row r="486" spans="1:13" x14ac:dyDescent="0.2">
      <c r="A486" s="49" t="s">
        <v>308</v>
      </c>
      <c r="B486" s="49">
        <v>19</v>
      </c>
      <c r="C486" s="66">
        <v>8.7999999999999995E-2</v>
      </c>
      <c r="D486" s="49">
        <v>3</v>
      </c>
      <c r="E486" s="49">
        <v>0</v>
      </c>
      <c r="F486" s="49" t="s">
        <v>465</v>
      </c>
      <c r="G486" s="49">
        <v>1480439</v>
      </c>
      <c r="H486" s="67">
        <v>425842</v>
      </c>
      <c r="I486" s="67">
        <v>2138687</v>
      </c>
      <c r="J486" s="67">
        <v>1794023</v>
      </c>
      <c r="K486" s="68">
        <f t="shared" si="2"/>
        <v>0.23736707946330676</v>
      </c>
      <c r="L486" s="66">
        <f t="shared" si="3"/>
        <v>0.83884317808075703</v>
      </c>
      <c r="M486" s="49">
        <v>0</v>
      </c>
    </row>
    <row r="487" spans="1:13" x14ac:dyDescent="0.2">
      <c r="A487" s="49" t="s">
        <v>308</v>
      </c>
      <c r="B487" s="49">
        <v>20</v>
      </c>
      <c r="C487" s="66">
        <v>9.2999999999999999E-2</v>
      </c>
      <c r="D487" s="49">
        <v>0.5</v>
      </c>
      <c r="E487" s="49">
        <v>0</v>
      </c>
      <c r="F487" s="49" t="s">
        <v>466</v>
      </c>
      <c r="G487" s="49">
        <v>1257064</v>
      </c>
      <c r="H487" s="67">
        <v>403239</v>
      </c>
      <c r="I487" s="67">
        <v>2305089</v>
      </c>
      <c r="J487" s="67">
        <v>2012570</v>
      </c>
      <c r="K487" s="68">
        <f t="shared" si="2"/>
        <v>0.20036023591726002</v>
      </c>
      <c r="L487" s="66">
        <f t="shared" si="3"/>
        <v>0.87309860920771387</v>
      </c>
      <c r="M487" s="49">
        <v>0</v>
      </c>
    </row>
    <row r="488" spans="1:13" x14ac:dyDescent="0.2">
      <c r="A488" s="49" t="s">
        <v>308</v>
      </c>
      <c r="B488" s="49">
        <v>21</v>
      </c>
      <c r="C488" s="66">
        <v>8.8999999999999996E-2</v>
      </c>
      <c r="D488" s="49">
        <v>3.4</v>
      </c>
      <c r="E488" s="49">
        <v>0</v>
      </c>
      <c r="F488" s="70">
        <v>36553</v>
      </c>
      <c r="G488" s="49">
        <v>1690693</v>
      </c>
      <c r="H488" s="67">
        <v>12994620</v>
      </c>
      <c r="I488" s="67">
        <v>19428796</v>
      </c>
      <c r="J488" s="67">
        <v>15322175</v>
      </c>
      <c r="K488" s="68">
        <f t="shared" si="2"/>
        <v>0.8480923889721923</v>
      </c>
      <c r="L488" s="66">
        <f t="shared" si="3"/>
        <v>0.78863224463317227</v>
      </c>
      <c r="M488" s="49">
        <v>0</v>
      </c>
    </row>
    <row r="489" spans="1:13" x14ac:dyDescent="0.2">
      <c r="A489" s="49" t="s">
        <v>308</v>
      </c>
      <c r="B489" s="49">
        <v>22</v>
      </c>
      <c r="C489" s="66">
        <v>0.09</v>
      </c>
      <c r="D489" s="49">
        <v>14</v>
      </c>
      <c r="E489" s="49">
        <v>0</v>
      </c>
      <c r="F489" s="49">
        <v>20.28</v>
      </c>
      <c r="G489" s="49">
        <v>3255000</v>
      </c>
      <c r="H489" s="67">
        <v>13874000</v>
      </c>
      <c r="I489" s="67">
        <v>20551000</v>
      </c>
      <c r="J489" s="67">
        <v>16736000</v>
      </c>
      <c r="K489" s="68">
        <f t="shared" si="2"/>
        <v>0.82899139579349901</v>
      </c>
      <c r="L489" s="66">
        <f t="shared" si="3"/>
        <v>0.81436426451267574</v>
      </c>
      <c r="M489" s="49">
        <v>0</v>
      </c>
    </row>
    <row r="490" spans="1:13" x14ac:dyDescent="0.2">
      <c r="A490" s="49" t="s">
        <v>308</v>
      </c>
      <c r="B490" s="49">
        <v>23</v>
      </c>
      <c r="C490" s="66">
        <v>0.1</v>
      </c>
      <c r="D490" s="49">
        <v>14.1</v>
      </c>
      <c r="E490" s="49">
        <v>0</v>
      </c>
      <c r="F490" s="49" t="s">
        <v>467</v>
      </c>
      <c r="G490" s="49">
        <v>3517000</v>
      </c>
      <c r="H490" s="67">
        <v>9591000</v>
      </c>
      <c r="I490" s="67">
        <v>16329000</v>
      </c>
      <c r="J490" s="67">
        <v>12722000</v>
      </c>
      <c r="K490" s="68">
        <f t="shared" si="2"/>
        <v>0.75389089765760098</v>
      </c>
      <c r="L490" s="66">
        <f t="shared" si="3"/>
        <v>0.77910466042011151</v>
      </c>
      <c r="M490" s="49">
        <v>0</v>
      </c>
    </row>
    <row r="491" spans="1:13" x14ac:dyDescent="0.2">
      <c r="A491" s="49" t="s">
        <v>310</v>
      </c>
      <c r="B491" s="49">
        <v>19</v>
      </c>
      <c r="C491" s="66">
        <v>8.5999999999999993E-2</v>
      </c>
      <c r="D491" s="49">
        <v>3</v>
      </c>
      <c r="E491" s="49">
        <v>0</v>
      </c>
      <c r="F491" s="49">
        <v>2.11</v>
      </c>
      <c r="G491" s="49">
        <v>6875000</v>
      </c>
      <c r="H491" s="67">
        <v>2020000</v>
      </c>
      <c r="I491" s="67">
        <v>6156000</v>
      </c>
      <c r="J491" s="67">
        <v>2351000</v>
      </c>
      <c r="K491" s="68">
        <f t="shared" si="2"/>
        <v>0.85920884729902169</v>
      </c>
      <c r="L491" s="66">
        <f t="shared" si="3"/>
        <v>0.38190383365821962</v>
      </c>
      <c r="M491" s="49">
        <v>0</v>
      </c>
    </row>
    <row r="492" spans="1:13" x14ac:dyDescent="0.2">
      <c r="A492" s="49" t="s">
        <v>310</v>
      </c>
      <c r="B492" s="49">
        <v>20</v>
      </c>
      <c r="C492" s="66">
        <v>8.5999999999999993E-2</v>
      </c>
      <c r="D492" s="49">
        <v>0.5</v>
      </c>
      <c r="E492" s="49">
        <v>0</v>
      </c>
      <c r="F492" s="49">
        <v>7.18</v>
      </c>
      <c r="G492" s="49">
        <v>6706000</v>
      </c>
      <c r="H492" s="67">
        <v>1600000</v>
      </c>
      <c r="I492" s="67">
        <v>6506000</v>
      </c>
      <c r="J492" s="67">
        <v>3219000</v>
      </c>
      <c r="K492" s="68">
        <f t="shared" si="2"/>
        <v>0.49704877291084187</v>
      </c>
      <c r="L492" s="66">
        <f t="shared" si="3"/>
        <v>0.49477405471872116</v>
      </c>
      <c r="M492" s="49">
        <v>0</v>
      </c>
    </row>
    <row r="493" spans="1:13" x14ac:dyDescent="0.2">
      <c r="A493" s="49" t="s">
        <v>310</v>
      </c>
      <c r="B493" s="49">
        <v>21</v>
      </c>
      <c r="C493" s="66">
        <v>9.7000000000000003E-2</v>
      </c>
      <c r="D493" s="49">
        <v>3.4</v>
      </c>
      <c r="E493" s="49">
        <v>0</v>
      </c>
      <c r="F493" s="49">
        <v>10.26</v>
      </c>
      <c r="G493" s="49">
        <v>6335000</v>
      </c>
      <c r="H493" s="67">
        <v>1474000</v>
      </c>
      <c r="I493" s="67">
        <v>5623000</v>
      </c>
      <c r="J493" s="67">
        <v>1872000</v>
      </c>
      <c r="K493" s="68">
        <f t="shared" si="2"/>
        <v>0.78739316239316237</v>
      </c>
      <c r="L493" s="66">
        <f t="shared" si="3"/>
        <v>0.33291837097634713</v>
      </c>
      <c r="M493" s="49">
        <v>0</v>
      </c>
    </row>
    <row r="494" spans="1:13" x14ac:dyDescent="0.2">
      <c r="A494" s="49" t="s">
        <v>310</v>
      </c>
      <c r="B494" s="49">
        <v>22</v>
      </c>
      <c r="C494" s="66">
        <v>9.2999999999999999E-2</v>
      </c>
      <c r="D494" s="49">
        <v>14</v>
      </c>
      <c r="E494" s="49">
        <v>0</v>
      </c>
      <c r="F494" s="49">
        <v>9.0399999999999991</v>
      </c>
      <c r="G494" s="49">
        <v>7791000</v>
      </c>
      <c r="H494" s="67">
        <v>1708000</v>
      </c>
      <c r="I494" s="67">
        <v>6686000</v>
      </c>
      <c r="J494" s="67">
        <v>2119000</v>
      </c>
      <c r="K494" s="68">
        <f t="shared" si="2"/>
        <v>0.80604058518168953</v>
      </c>
      <c r="L494" s="66">
        <f t="shared" si="3"/>
        <v>0.31693090038887228</v>
      </c>
      <c r="M494" s="49">
        <v>0</v>
      </c>
    </row>
    <row r="495" spans="1:13" x14ac:dyDescent="0.2">
      <c r="A495" s="49" t="s">
        <v>310</v>
      </c>
      <c r="B495" s="49">
        <v>23</v>
      </c>
      <c r="C495" s="66">
        <v>9.5000000000000001E-2</v>
      </c>
      <c r="D495" s="49">
        <v>14.1</v>
      </c>
      <c r="E495" s="49">
        <v>0</v>
      </c>
      <c r="F495" s="49">
        <v>9.2100000000000009</v>
      </c>
      <c r="G495" s="49">
        <v>7811000</v>
      </c>
      <c r="H495" s="67">
        <v>1797000</v>
      </c>
      <c r="I495" s="67">
        <v>6552000</v>
      </c>
      <c r="J495" s="67">
        <v>2197000</v>
      </c>
      <c r="K495" s="68">
        <f t="shared" si="2"/>
        <v>0.81793354574419663</v>
      </c>
      <c r="L495" s="66">
        <f t="shared" si="3"/>
        <v>0.33531746031746029</v>
      </c>
      <c r="M495" s="49">
        <v>0</v>
      </c>
    </row>
    <row r="496" spans="1:13" x14ac:dyDescent="0.2">
      <c r="A496" s="49" t="s">
        <v>312</v>
      </c>
      <c r="B496" s="49">
        <v>19</v>
      </c>
      <c r="C496" s="66">
        <v>0.105</v>
      </c>
      <c r="D496" s="49">
        <v>3</v>
      </c>
      <c r="E496" s="49">
        <v>0</v>
      </c>
      <c r="F496" s="49">
        <v>11.21</v>
      </c>
      <c r="G496" s="49">
        <v>2142138</v>
      </c>
      <c r="H496" s="67">
        <v>576426</v>
      </c>
      <c r="I496" s="67">
        <v>2080648</v>
      </c>
      <c r="J496" s="67">
        <v>799883</v>
      </c>
      <c r="K496" s="68">
        <f t="shared" si="2"/>
        <v>0.72063789329189398</v>
      </c>
      <c r="L496" s="66">
        <f t="shared" si="3"/>
        <v>0.3844393669664451</v>
      </c>
      <c r="M496" s="49">
        <v>0</v>
      </c>
    </row>
    <row r="497" spans="1:13" x14ac:dyDescent="0.2">
      <c r="A497" s="49" t="s">
        <v>312</v>
      </c>
      <c r="B497" s="49">
        <v>20</v>
      </c>
      <c r="C497" s="66">
        <v>0.113</v>
      </c>
      <c r="D497" s="49">
        <v>0.5</v>
      </c>
      <c r="E497" s="49">
        <v>0</v>
      </c>
      <c r="F497" s="49">
        <v>12.57</v>
      </c>
      <c r="G497" s="49">
        <v>2258497</v>
      </c>
      <c r="H497" s="67">
        <v>626453</v>
      </c>
      <c r="I497" s="67">
        <v>2486398</v>
      </c>
      <c r="J497" s="67">
        <v>1050971</v>
      </c>
      <c r="K497" s="68">
        <f t="shared" si="2"/>
        <v>0.59607068130329</v>
      </c>
      <c r="L497" s="66">
        <f t="shared" si="3"/>
        <v>0.42268816175045187</v>
      </c>
      <c r="M497" s="49">
        <v>0</v>
      </c>
    </row>
    <row r="498" spans="1:13" x14ac:dyDescent="0.2">
      <c r="A498" s="49" t="s">
        <v>312</v>
      </c>
      <c r="B498" s="49">
        <v>21</v>
      </c>
      <c r="C498" s="66">
        <v>0.108</v>
      </c>
      <c r="D498" s="49">
        <v>3.4</v>
      </c>
      <c r="E498" s="49">
        <v>0</v>
      </c>
      <c r="F498" s="49">
        <v>15.17</v>
      </c>
      <c r="G498" s="49">
        <v>3177638</v>
      </c>
      <c r="H498" s="67">
        <v>962843</v>
      </c>
      <c r="I498" s="67">
        <v>3494616</v>
      </c>
      <c r="J498" s="67">
        <v>1340937</v>
      </c>
      <c r="K498" s="68">
        <f t="shared" si="2"/>
        <v>0.71803746186435302</v>
      </c>
      <c r="L498" s="66">
        <f t="shared" si="3"/>
        <v>0.38371512063127966</v>
      </c>
      <c r="M498" s="49">
        <v>0</v>
      </c>
    </row>
    <row r="499" spans="1:13" x14ac:dyDescent="0.2">
      <c r="A499" s="49" t="s">
        <v>312</v>
      </c>
      <c r="B499" s="49">
        <v>22</v>
      </c>
      <c r="C499" s="66">
        <v>0.12</v>
      </c>
      <c r="D499" s="49">
        <v>14</v>
      </c>
      <c r="E499" s="49">
        <v>0</v>
      </c>
      <c r="F499" s="49">
        <v>10.57</v>
      </c>
      <c r="G499" s="49">
        <v>3534142</v>
      </c>
      <c r="H499" s="67">
        <v>968079</v>
      </c>
      <c r="I499" s="67">
        <v>3605539</v>
      </c>
      <c r="J499" s="67">
        <v>1530241</v>
      </c>
      <c r="K499" s="68">
        <f t="shared" si="2"/>
        <v>0.63263172271557222</v>
      </c>
      <c r="L499" s="66">
        <f t="shared" si="3"/>
        <v>0.42441393644611802</v>
      </c>
      <c r="M499" s="49">
        <v>0</v>
      </c>
    </row>
    <row r="500" spans="1:13" x14ac:dyDescent="0.2">
      <c r="A500" s="49" t="s">
        <v>312</v>
      </c>
      <c r="B500" s="49">
        <v>23</v>
      </c>
      <c r="C500" s="66">
        <v>6.7000000000000004E-2</v>
      </c>
      <c r="D500" s="49">
        <v>14.1</v>
      </c>
      <c r="E500" s="49">
        <v>0</v>
      </c>
      <c r="F500" s="49">
        <v>9.4</v>
      </c>
      <c r="G500" s="49">
        <v>3480447</v>
      </c>
      <c r="H500" s="67">
        <v>1135809</v>
      </c>
      <c r="I500" s="67">
        <v>3760700</v>
      </c>
      <c r="J500" s="67">
        <v>1650516</v>
      </c>
      <c r="K500" s="68">
        <f t="shared" si="2"/>
        <v>0.68815388642097386</v>
      </c>
      <c r="L500" s="66">
        <f t="shared" si="3"/>
        <v>0.43888531390432634</v>
      </c>
      <c r="M500" s="49">
        <v>0</v>
      </c>
    </row>
    <row r="501" spans="1:13" x14ac:dyDescent="0.2">
      <c r="C501" s="66"/>
      <c r="H501" s="67"/>
      <c r="I501" s="67"/>
      <c r="J501" s="67"/>
      <c r="K501" s="68"/>
    </row>
    <row r="502" spans="1:13" x14ac:dyDescent="0.2">
      <c r="C502" s="66"/>
      <c r="H502" s="67"/>
      <c r="I502" s="67"/>
      <c r="J502" s="67"/>
      <c r="K502" s="68"/>
    </row>
    <row r="503" spans="1:13" x14ac:dyDescent="0.2">
      <c r="C503" s="66"/>
      <c r="H503" s="67"/>
      <c r="I503" s="67"/>
      <c r="J503" s="67"/>
      <c r="K503" s="68"/>
    </row>
    <row r="504" spans="1:13" x14ac:dyDescent="0.2">
      <c r="C504" s="66"/>
      <c r="H504" s="71"/>
      <c r="I504" s="67"/>
      <c r="J504" s="66"/>
      <c r="K504" s="68"/>
    </row>
    <row r="505" spans="1:13" x14ac:dyDescent="0.2">
      <c r="C505" s="66"/>
      <c r="H505" s="67"/>
      <c r="I505" s="67"/>
      <c r="J505" s="67"/>
      <c r="K505" s="68"/>
    </row>
    <row r="506" spans="1:13" x14ac:dyDescent="0.2">
      <c r="C506" s="66"/>
      <c r="H506" s="67"/>
      <c r="I506" s="67"/>
      <c r="J506" s="67"/>
      <c r="K506" s="68"/>
    </row>
    <row r="507" spans="1:13" x14ac:dyDescent="0.2">
      <c r="C507" s="66"/>
      <c r="H507" s="67"/>
      <c r="I507" s="67"/>
      <c r="J507" s="67"/>
      <c r="K507" s="68"/>
    </row>
    <row r="508" spans="1:13" x14ac:dyDescent="0.2">
      <c r="C508" s="66"/>
      <c r="H508" s="67"/>
      <c r="I508" s="67"/>
      <c r="J508" s="67"/>
      <c r="K508" s="68"/>
    </row>
    <row r="509" spans="1:13" x14ac:dyDescent="0.2">
      <c r="C509" s="66"/>
      <c r="H509" s="67"/>
      <c r="I509" s="67"/>
      <c r="J509" s="67"/>
      <c r="K509" s="68"/>
    </row>
    <row r="510" spans="1:13" x14ac:dyDescent="0.2">
      <c r="C510" s="66"/>
      <c r="H510" s="67"/>
      <c r="I510" s="67"/>
      <c r="J510" s="67"/>
      <c r="K510" s="68"/>
    </row>
    <row r="511" spans="1:13" x14ac:dyDescent="0.2">
      <c r="C511" s="66"/>
      <c r="H511" s="67"/>
      <c r="I511" s="67"/>
      <c r="J511" s="67"/>
      <c r="K511" s="68"/>
    </row>
    <row r="512" spans="1:13" x14ac:dyDescent="0.2">
      <c r="C512" s="66"/>
      <c r="H512" s="67"/>
      <c r="I512" s="67"/>
      <c r="J512" s="67"/>
      <c r="K512" s="68"/>
    </row>
    <row r="513" spans="3:11" x14ac:dyDescent="0.2">
      <c r="C513" s="66"/>
      <c r="H513" s="67"/>
      <c r="I513" s="67"/>
      <c r="J513" s="67"/>
      <c r="K513" s="68"/>
    </row>
    <row r="514" spans="3:11" x14ac:dyDescent="0.2">
      <c r="C514" s="66"/>
      <c r="H514" s="67"/>
      <c r="I514" s="67"/>
      <c r="J514" s="67"/>
      <c r="K514" s="68"/>
    </row>
    <row r="515" spans="3:11" x14ac:dyDescent="0.2">
      <c r="C515" s="66"/>
      <c r="H515" s="67"/>
      <c r="I515" s="67"/>
      <c r="J515" s="67"/>
      <c r="K515" s="68"/>
    </row>
    <row r="516" spans="3:11" x14ac:dyDescent="0.2">
      <c r="C516" s="66"/>
      <c r="H516" s="67"/>
      <c r="I516" s="67"/>
      <c r="J516" s="67"/>
      <c r="K516" s="68"/>
    </row>
    <row r="517" spans="3:11" x14ac:dyDescent="0.2">
      <c r="C517" s="66"/>
      <c r="H517" s="67"/>
      <c r="I517" s="67"/>
      <c r="J517" s="67"/>
      <c r="K517" s="68"/>
    </row>
    <row r="518" spans="3:11" x14ac:dyDescent="0.2">
      <c r="C518" s="66"/>
      <c r="H518" s="67"/>
      <c r="I518" s="67"/>
      <c r="J518" s="67"/>
      <c r="K518" s="68"/>
    </row>
    <row r="519" spans="3:11" x14ac:dyDescent="0.2">
      <c r="C519" s="66"/>
      <c r="H519" s="67"/>
      <c r="I519" s="67"/>
      <c r="J519" s="67"/>
      <c r="K519" s="68"/>
    </row>
    <row r="520" spans="3:11" x14ac:dyDescent="0.2">
      <c r="C520" s="66"/>
      <c r="H520" s="67"/>
      <c r="I520" s="67"/>
      <c r="J520" s="67"/>
      <c r="K520" s="68"/>
    </row>
    <row r="521" spans="3:11" x14ac:dyDescent="0.2">
      <c r="C521" s="66"/>
      <c r="H521" s="67"/>
      <c r="I521" s="67"/>
      <c r="J521" s="67"/>
      <c r="K521" s="68"/>
    </row>
    <row r="522" spans="3:11" x14ac:dyDescent="0.2">
      <c r="C522" s="66"/>
      <c r="H522" s="67"/>
      <c r="I522" s="67"/>
      <c r="J522" s="67"/>
      <c r="K522" s="68"/>
    </row>
    <row r="523" spans="3:11" x14ac:dyDescent="0.2">
      <c r="C523" s="66"/>
      <c r="H523" s="67"/>
      <c r="I523" s="67"/>
      <c r="J523" s="67"/>
      <c r="K523" s="68"/>
    </row>
    <row r="524" spans="3:11" x14ac:dyDescent="0.2">
      <c r="C524" s="66"/>
      <c r="H524" s="67"/>
      <c r="I524" s="67"/>
      <c r="J524" s="67"/>
      <c r="K524" s="68"/>
    </row>
    <row r="525" spans="3:11" x14ac:dyDescent="0.2">
      <c r="C525" s="66"/>
      <c r="H525" s="67"/>
      <c r="I525" s="67"/>
      <c r="J525" s="67"/>
      <c r="K525" s="68"/>
    </row>
    <row r="526" spans="3:11" x14ac:dyDescent="0.2">
      <c r="C526" s="66"/>
      <c r="H526" s="67"/>
      <c r="I526" s="67"/>
      <c r="J526" s="67"/>
      <c r="K526" s="68"/>
    </row>
    <row r="527" spans="3:11" x14ac:dyDescent="0.2">
      <c r="C527" s="66"/>
      <c r="H527" s="67"/>
      <c r="I527" s="67"/>
      <c r="J527" s="67"/>
      <c r="K527" s="68"/>
    </row>
    <row r="528" spans="3:11" x14ac:dyDescent="0.2">
      <c r="C528" s="66"/>
      <c r="H528" s="67"/>
      <c r="I528" s="67"/>
      <c r="J528" s="67"/>
      <c r="K528" s="68"/>
    </row>
    <row r="529" spans="3:11" x14ac:dyDescent="0.2">
      <c r="C529" s="66"/>
      <c r="H529" s="67"/>
      <c r="I529" s="67"/>
      <c r="J529" s="67"/>
      <c r="K529" s="68"/>
    </row>
    <row r="530" spans="3:11" x14ac:dyDescent="0.2">
      <c r="C530" s="66"/>
      <c r="H530" s="67"/>
      <c r="I530" s="67"/>
      <c r="J530" s="67"/>
      <c r="K530" s="68"/>
    </row>
    <row r="531" spans="3:11" x14ac:dyDescent="0.2">
      <c r="C531" s="66"/>
      <c r="H531" s="67"/>
      <c r="I531" s="67"/>
      <c r="J531" s="67"/>
      <c r="K531" s="68"/>
    </row>
    <row r="532" spans="3:11" x14ac:dyDescent="0.2">
      <c r="C532" s="66"/>
      <c r="H532" s="67"/>
      <c r="I532" s="67"/>
      <c r="J532" s="67"/>
      <c r="K532" s="68"/>
    </row>
    <row r="533" spans="3:11" x14ac:dyDescent="0.2">
      <c r="C533" s="66"/>
      <c r="H533" s="67"/>
      <c r="I533" s="67"/>
      <c r="J533" s="67"/>
      <c r="K533" s="68"/>
    </row>
    <row r="534" spans="3:11" x14ac:dyDescent="0.2">
      <c r="C534" s="66"/>
      <c r="H534" s="67"/>
      <c r="I534" s="67"/>
      <c r="J534" s="67"/>
      <c r="K534" s="68"/>
    </row>
    <row r="535" spans="3:11" x14ac:dyDescent="0.2">
      <c r="C535" s="66"/>
      <c r="H535" s="67"/>
      <c r="I535" s="67"/>
      <c r="J535" s="67"/>
      <c r="K535" s="68"/>
    </row>
    <row r="536" spans="3:11" x14ac:dyDescent="0.2">
      <c r="C536" s="66"/>
      <c r="H536" s="67"/>
      <c r="I536" s="67"/>
      <c r="J536" s="67"/>
      <c r="K536" s="68"/>
    </row>
    <row r="537" spans="3:11" x14ac:dyDescent="0.2">
      <c r="C537" s="66"/>
      <c r="H537" s="67"/>
      <c r="I537" s="67"/>
      <c r="J537" s="67"/>
      <c r="K537" s="68"/>
    </row>
    <row r="538" spans="3:11" x14ac:dyDescent="0.2">
      <c r="C538" s="66"/>
      <c r="H538" s="67"/>
      <c r="I538" s="67"/>
      <c r="J538" s="67"/>
      <c r="K538" s="68"/>
    </row>
    <row r="539" spans="3:11" x14ac:dyDescent="0.2">
      <c r="C539" s="66"/>
      <c r="H539" s="67"/>
      <c r="I539" s="67"/>
      <c r="J539" s="67"/>
      <c r="K539" s="68"/>
    </row>
    <row r="540" spans="3:11" x14ac:dyDescent="0.2">
      <c r="C540" s="66"/>
      <c r="H540" s="67"/>
      <c r="I540" s="67"/>
      <c r="J540" s="67"/>
      <c r="K540" s="68"/>
    </row>
    <row r="541" spans="3:11" x14ac:dyDescent="0.2">
      <c r="C541" s="66"/>
      <c r="H541" s="67"/>
      <c r="I541" s="67"/>
      <c r="J541" s="67"/>
      <c r="K541" s="68"/>
    </row>
    <row r="542" spans="3:11" x14ac:dyDescent="0.2">
      <c r="C542" s="66"/>
      <c r="H542" s="67"/>
      <c r="I542" s="67"/>
      <c r="J542" s="67"/>
      <c r="K542" s="68"/>
    </row>
    <row r="543" spans="3:11" x14ac:dyDescent="0.2">
      <c r="C543" s="66"/>
      <c r="H543" s="67"/>
      <c r="I543" s="67"/>
      <c r="J543" s="67"/>
      <c r="K543" s="68"/>
    </row>
    <row r="544" spans="3:11" x14ac:dyDescent="0.2">
      <c r="C544" s="66"/>
      <c r="H544" s="67"/>
      <c r="I544" s="67"/>
      <c r="J544" s="67"/>
      <c r="K544" s="68"/>
    </row>
    <row r="545" spans="3:11" x14ac:dyDescent="0.2">
      <c r="C545" s="66"/>
      <c r="H545" s="67"/>
      <c r="I545" s="67"/>
      <c r="J545" s="67"/>
      <c r="K545" s="68"/>
    </row>
    <row r="546" spans="3:11" x14ac:dyDescent="0.2">
      <c r="C546" s="66"/>
      <c r="H546" s="67"/>
      <c r="I546" s="67"/>
      <c r="J546" s="67"/>
      <c r="K546" s="68"/>
    </row>
    <row r="547" spans="3:11" x14ac:dyDescent="0.2">
      <c r="C547" s="66"/>
      <c r="H547" s="67"/>
      <c r="I547" s="67"/>
      <c r="J547" s="67"/>
      <c r="K547" s="68"/>
    </row>
    <row r="548" spans="3:11" x14ac:dyDescent="0.2">
      <c r="C548" s="66"/>
      <c r="H548" s="67"/>
      <c r="I548" s="67"/>
      <c r="J548" s="67"/>
      <c r="K548" s="68"/>
    </row>
    <row r="549" spans="3:11" x14ac:dyDescent="0.2">
      <c r="C549" s="66"/>
      <c r="H549" s="67"/>
      <c r="I549" s="67"/>
      <c r="J549" s="67"/>
      <c r="K549" s="68"/>
    </row>
    <row r="550" spans="3:11" x14ac:dyDescent="0.2">
      <c r="C550" s="66"/>
      <c r="H550" s="67"/>
      <c r="I550" s="67"/>
      <c r="J550" s="67"/>
      <c r="K550" s="68"/>
    </row>
    <row r="551" spans="3:11" x14ac:dyDescent="0.2">
      <c r="C551" s="66"/>
      <c r="H551" s="67"/>
      <c r="I551" s="67"/>
      <c r="J551" s="67"/>
      <c r="K551" s="68"/>
    </row>
    <row r="552" spans="3:11" x14ac:dyDescent="0.2">
      <c r="C552" s="66"/>
      <c r="H552" s="67"/>
      <c r="I552" s="67"/>
      <c r="J552" s="67"/>
      <c r="K552" s="68"/>
    </row>
    <row r="553" spans="3:11" x14ac:dyDescent="0.2">
      <c r="C553" s="66"/>
      <c r="H553" s="67"/>
      <c r="I553" s="67"/>
      <c r="J553" s="67"/>
      <c r="K553" s="68"/>
    </row>
    <row r="554" spans="3:11" x14ac:dyDescent="0.2">
      <c r="C554" s="66"/>
      <c r="H554" s="67"/>
      <c r="I554" s="67"/>
      <c r="J554" s="67"/>
      <c r="K554" s="68"/>
    </row>
    <row r="555" spans="3:11" x14ac:dyDescent="0.2">
      <c r="C555" s="66"/>
      <c r="H555" s="67"/>
      <c r="I555" s="67"/>
      <c r="J555" s="67"/>
      <c r="K555" s="68"/>
    </row>
    <row r="556" spans="3:11" x14ac:dyDescent="0.2">
      <c r="C556" s="66"/>
      <c r="H556" s="67"/>
      <c r="I556" s="67"/>
      <c r="J556" s="67"/>
      <c r="K556" s="68"/>
    </row>
    <row r="557" spans="3:11" x14ac:dyDescent="0.2">
      <c r="C557" s="66"/>
      <c r="H557" s="67"/>
      <c r="I557" s="67"/>
      <c r="J557" s="67"/>
      <c r="K557" s="68"/>
    </row>
    <row r="558" spans="3:11" x14ac:dyDescent="0.2">
      <c r="C558" s="66"/>
      <c r="H558" s="67"/>
      <c r="I558" s="67"/>
      <c r="J558" s="67"/>
      <c r="K558" s="68"/>
    </row>
    <row r="559" spans="3:11" x14ac:dyDescent="0.2">
      <c r="C559" s="66"/>
      <c r="H559" s="67"/>
      <c r="I559" s="67"/>
      <c r="J559" s="67"/>
      <c r="K559" s="68"/>
    </row>
    <row r="560" spans="3:11" x14ac:dyDescent="0.2">
      <c r="C560" s="66"/>
      <c r="H560" s="67"/>
      <c r="I560" s="67"/>
      <c r="J560" s="67"/>
      <c r="K560" s="68"/>
    </row>
    <row r="561" spans="3:11" x14ac:dyDescent="0.2">
      <c r="C561" s="66"/>
      <c r="H561" s="67"/>
      <c r="I561" s="67"/>
      <c r="J561" s="67"/>
      <c r="K561" s="68"/>
    </row>
    <row r="562" spans="3:11" x14ac:dyDescent="0.2">
      <c r="C562" s="66"/>
      <c r="H562" s="67"/>
      <c r="I562" s="67"/>
      <c r="J562" s="67"/>
      <c r="K562" s="68"/>
    </row>
    <row r="563" spans="3:11" x14ac:dyDescent="0.2">
      <c r="C563" s="66"/>
      <c r="H563" s="67"/>
      <c r="I563" s="67"/>
      <c r="J563" s="67"/>
      <c r="K563" s="68"/>
    </row>
    <row r="564" spans="3:11" x14ac:dyDescent="0.2">
      <c r="C564" s="66"/>
      <c r="H564" s="67"/>
      <c r="I564" s="67"/>
      <c r="J564" s="67"/>
      <c r="K564" s="68"/>
    </row>
    <row r="565" spans="3:11" x14ac:dyDescent="0.2">
      <c r="C565" s="66"/>
      <c r="H565" s="67"/>
      <c r="I565" s="67"/>
      <c r="J565" s="67"/>
      <c r="K565" s="68"/>
    </row>
    <row r="566" spans="3:11" x14ac:dyDescent="0.2">
      <c r="C566" s="66"/>
      <c r="H566" s="67"/>
      <c r="I566" s="67"/>
      <c r="J566" s="67"/>
      <c r="K566" s="68"/>
    </row>
    <row r="567" spans="3:11" x14ac:dyDescent="0.2">
      <c r="C567" s="66"/>
      <c r="H567" s="67"/>
      <c r="I567" s="67"/>
      <c r="J567" s="67"/>
      <c r="K567" s="68"/>
    </row>
    <row r="568" spans="3:11" x14ac:dyDescent="0.2">
      <c r="C568" s="66"/>
      <c r="H568" s="67"/>
      <c r="I568" s="67"/>
      <c r="J568" s="67"/>
      <c r="K568" s="68"/>
    </row>
    <row r="569" spans="3:11" x14ac:dyDescent="0.2">
      <c r="C569" s="66"/>
      <c r="H569" s="67"/>
      <c r="I569" s="67"/>
      <c r="J569" s="67"/>
      <c r="K569" s="68"/>
    </row>
    <row r="570" spans="3:11" x14ac:dyDescent="0.2">
      <c r="C570" s="66"/>
      <c r="H570" s="67"/>
      <c r="I570" s="67"/>
      <c r="J570" s="67"/>
      <c r="K570" s="68"/>
    </row>
    <row r="571" spans="3:11" x14ac:dyDescent="0.2">
      <c r="C571" s="66"/>
      <c r="H571" s="67"/>
      <c r="I571" s="67"/>
      <c r="J571" s="67"/>
      <c r="K571" s="68"/>
    </row>
    <row r="572" spans="3:11" x14ac:dyDescent="0.2">
      <c r="C572" s="66"/>
      <c r="H572" s="67"/>
      <c r="I572" s="67"/>
      <c r="J572" s="67"/>
      <c r="K572" s="68"/>
    </row>
    <row r="573" spans="3:11" x14ac:dyDescent="0.2">
      <c r="C573" s="66"/>
      <c r="H573" s="67"/>
      <c r="I573" s="67"/>
      <c r="J573" s="67"/>
      <c r="K573" s="68"/>
    </row>
    <row r="574" spans="3:11" x14ac:dyDescent="0.2">
      <c r="C574" s="66"/>
      <c r="H574" s="67"/>
      <c r="I574" s="67"/>
      <c r="J574" s="67"/>
      <c r="K574" s="68"/>
    </row>
    <row r="575" spans="3:11" x14ac:dyDescent="0.2">
      <c r="C575" s="66"/>
      <c r="H575" s="67"/>
      <c r="I575" s="67"/>
      <c r="J575" s="67"/>
      <c r="K575" s="68"/>
    </row>
    <row r="576" spans="3:11" x14ac:dyDescent="0.2">
      <c r="C576" s="66"/>
      <c r="H576" s="67"/>
      <c r="I576" s="67"/>
      <c r="J576" s="67"/>
      <c r="K576" s="68"/>
    </row>
    <row r="577" spans="3:11" x14ac:dyDescent="0.2">
      <c r="C577" s="66"/>
      <c r="H577" s="67"/>
      <c r="I577" s="67"/>
      <c r="J577" s="67"/>
      <c r="K577" s="68"/>
    </row>
    <row r="578" spans="3:11" x14ac:dyDescent="0.2">
      <c r="C578" s="66"/>
      <c r="H578" s="67"/>
      <c r="I578" s="67"/>
      <c r="J578" s="67"/>
      <c r="K578" s="68"/>
    </row>
    <row r="579" spans="3:11" x14ac:dyDescent="0.2">
      <c r="C579" s="66"/>
      <c r="H579" s="67"/>
      <c r="I579" s="67"/>
      <c r="J579" s="67"/>
      <c r="K579" s="68"/>
    </row>
    <row r="580" spans="3:11" x14ac:dyDescent="0.2">
      <c r="C580" s="66"/>
      <c r="H580" s="67"/>
      <c r="I580" s="67"/>
      <c r="J580" s="67"/>
      <c r="K580" s="68"/>
    </row>
    <row r="581" spans="3:11" x14ac:dyDescent="0.2">
      <c r="C581" s="66"/>
      <c r="H581" s="67"/>
      <c r="I581" s="67"/>
      <c r="J581" s="67"/>
      <c r="K581" s="68"/>
    </row>
    <row r="582" spans="3:11" x14ac:dyDescent="0.2">
      <c r="C582" s="66"/>
      <c r="H582" s="67"/>
      <c r="I582" s="67"/>
      <c r="J582" s="67"/>
      <c r="K582" s="68"/>
    </row>
    <row r="583" spans="3:11" x14ac:dyDescent="0.2">
      <c r="C583" s="66"/>
      <c r="H583" s="67"/>
      <c r="I583" s="67"/>
      <c r="J583" s="67"/>
      <c r="K583" s="68"/>
    </row>
    <row r="584" spans="3:11" x14ac:dyDescent="0.2">
      <c r="C584" s="66"/>
      <c r="H584" s="67"/>
      <c r="I584" s="67"/>
      <c r="J584" s="67"/>
      <c r="K584" s="68"/>
    </row>
    <row r="585" spans="3:11" x14ac:dyDescent="0.2">
      <c r="C585" s="66"/>
      <c r="H585" s="67"/>
      <c r="I585" s="67"/>
      <c r="J585" s="67"/>
      <c r="K585" s="68"/>
    </row>
    <row r="586" spans="3:11" x14ac:dyDescent="0.2">
      <c r="C586" s="66"/>
      <c r="H586" s="67"/>
      <c r="I586" s="67"/>
      <c r="J586" s="67"/>
      <c r="K586" s="68"/>
    </row>
    <row r="587" spans="3:11" x14ac:dyDescent="0.2">
      <c r="C587" s="66"/>
      <c r="H587" s="67"/>
      <c r="I587" s="67"/>
      <c r="J587" s="67"/>
      <c r="K587" s="68"/>
    </row>
    <row r="588" spans="3:11" x14ac:dyDescent="0.2">
      <c r="C588" s="66"/>
      <c r="H588" s="67"/>
      <c r="I588" s="67"/>
      <c r="J588" s="67"/>
      <c r="K588" s="68"/>
    </row>
    <row r="589" spans="3:11" x14ac:dyDescent="0.2">
      <c r="C589" s="66"/>
      <c r="H589" s="67"/>
      <c r="I589" s="67"/>
      <c r="J589" s="67"/>
      <c r="K589" s="68"/>
    </row>
    <row r="590" spans="3:11" x14ac:dyDescent="0.2">
      <c r="C590" s="66"/>
      <c r="H590" s="67"/>
      <c r="I590" s="67"/>
      <c r="J590" s="67"/>
      <c r="K590" s="68"/>
    </row>
    <row r="591" spans="3:11" x14ac:dyDescent="0.2">
      <c r="C591" s="66"/>
      <c r="H591" s="67"/>
      <c r="I591" s="67"/>
      <c r="J591" s="67"/>
      <c r="K591" s="68"/>
    </row>
    <row r="592" spans="3:11" x14ac:dyDescent="0.2">
      <c r="C592" s="66"/>
      <c r="H592" s="67"/>
      <c r="I592" s="67"/>
      <c r="J592" s="67"/>
      <c r="K592" s="68"/>
    </row>
    <row r="593" spans="3:11" x14ac:dyDescent="0.2">
      <c r="C593" s="66"/>
      <c r="H593" s="67"/>
      <c r="I593" s="67"/>
      <c r="J593" s="67"/>
      <c r="K593" s="68"/>
    </row>
    <row r="594" spans="3:11" x14ac:dyDescent="0.2">
      <c r="C594" s="66"/>
      <c r="H594" s="67"/>
      <c r="I594" s="67"/>
      <c r="J594" s="67"/>
      <c r="K594" s="68"/>
    </row>
    <row r="595" spans="3:11" x14ac:dyDescent="0.2">
      <c r="C595" s="66"/>
      <c r="H595" s="67"/>
      <c r="I595" s="67"/>
      <c r="J595" s="67"/>
      <c r="K595" s="68"/>
    </row>
    <row r="596" spans="3:11" x14ac:dyDescent="0.2">
      <c r="C596" s="66"/>
      <c r="H596" s="67"/>
      <c r="I596" s="67"/>
      <c r="J596" s="67"/>
      <c r="K596" s="68"/>
    </row>
    <row r="597" spans="3:11" x14ac:dyDescent="0.2">
      <c r="C597" s="66"/>
      <c r="H597" s="67"/>
      <c r="I597" s="67"/>
      <c r="J597" s="67"/>
      <c r="K597" s="68"/>
    </row>
    <row r="598" spans="3:11" x14ac:dyDescent="0.2">
      <c r="C598" s="66"/>
      <c r="H598" s="67"/>
      <c r="I598" s="67"/>
      <c r="J598" s="67"/>
      <c r="K598" s="68"/>
    </row>
    <row r="599" spans="3:11" x14ac:dyDescent="0.2">
      <c r="C599" s="66"/>
      <c r="H599" s="67"/>
      <c r="I599" s="67"/>
      <c r="J599" s="67"/>
      <c r="K599" s="68"/>
    </row>
    <row r="600" spans="3:11" x14ac:dyDescent="0.2">
      <c r="C600" s="66"/>
      <c r="H600" s="67"/>
      <c r="I600" s="67"/>
      <c r="J600" s="67"/>
      <c r="K600" s="68"/>
    </row>
    <row r="601" spans="3:11" x14ac:dyDescent="0.2">
      <c r="C601" s="66"/>
      <c r="H601" s="67"/>
      <c r="I601" s="67"/>
      <c r="J601" s="67"/>
      <c r="K601" s="68"/>
    </row>
    <row r="602" spans="3:11" x14ac:dyDescent="0.2">
      <c r="C602" s="66"/>
      <c r="H602" s="67"/>
      <c r="I602" s="67"/>
      <c r="J602" s="67"/>
      <c r="K602" s="68"/>
    </row>
    <row r="603" spans="3:11" x14ac:dyDescent="0.2">
      <c r="C603" s="66"/>
      <c r="H603" s="67"/>
      <c r="I603" s="67"/>
      <c r="J603" s="67"/>
      <c r="K603" s="68"/>
    </row>
    <row r="604" spans="3:11" x14ac:dyDescent="0.2">
      <c r="C604" s="66"/>
      <c r="H604" s="67"/>
      <c r="I604" s="67"/>
      <c r="J604" s="67"/>
      <c r="K604" s="68"/>
    </row>
    <row r="605" spans="3:11" x14ac:dyDescent="0.2">
      <c r="C605" s="66"/>
      <c r="H605" s="67"/>
      <c r="I605" s="67"/>
      <c r="J605" s="67"/>
      <c r="K605" s="68"/>
    </row>
    <row r="606" spans="3:11" x14ac:dyDescent="0.2">
      <c r="C606" s="66"/>
      <c r="H606" s="67"/>
      <c r="I606" s="67"/>
      <c r="J606" s="67"/>
      <c r="K606" s="68"/>
    </row>
    <row r="607" spans="3:11" x14ac:dyDescent="0.2">
      <c r="C607" s="66"/>
      <c r="H607" s="67"/>
      <c r="I607" s="67"/>
      <c r="J607" s="67"/>
      <c r="K607" s="68"/>
    </row>
    <row r="608" spans="3:11" x14ac:dyDescent="0.2">
      <c r="C608" s="66"/>
      <c r="H608" s="67"/>
      <c r="I608" s="67"/>
      <c r="J608" s="67"/>
      <c r="K608" s="68"/>
    </row>
    <row r="609" spans="3:11" x14ac:dyDescent="0.2">
      <c r="C609" s="66"/>
      <c r="H609" s="67"/>
      <c r="I609" s="67"/>
      <c r="J609" s="67"/>
      <c r="K609" s="68"/>
    </row>
    <row r="610" spans="3:11" x14ac:dyDescent="0.2">
      <c r="C610" s="66"/>
      <c r="H610" s="67"/>
      <c r="I610" s="67"/>
      <c r="J610" s="67"/>
      <c r="K610" s="68"/>
    </row>
    <row r="611" spans="3:11" x14ac:dyDescent="0.2">
      <c r="C611" s="66"/>
      <c r="H611" s="67"/>
      <c r="I611" s="67"/>
      <c r="J611" s="67"/>
      <c r="K611" s="68"/>
    </row>
    <row r="612" spans="3:11" x14ac:dyDescent="0.2">
      <c r="C612" s="66"/>
      <c r="H612" s="67"/>
      <c r="I612" s="67"/>
      <c r="J612" s="67"/>
      <c r="K612" s="68"/>
    </row>
    <row r="613" spans="3:11" x14ac:dyDescent="0.2">
      <c r="C613" s="66"/>
      <c r="H613" s="67"/>
      <c r="I613" s="67"/>
      <c r="J613" s="67"/>
      <c r="K613" s="68"/>
    </row>
    <row r="614" spans="3:11" x14ac:dyDescent="0.2">
      <c r="C614" s="66"/>
      <c r="H614" s="67"/>
      <c r="I614" s="67"/>
      <c r="J614" s="67"/>
      <c r="K614" s="68"/>
    </row>
    <row r="615" spans="3:11" x14ac:dyDescent="0.2">
      <c r="C615" s="66"/>
      <c r="H615" s="67"/>
      <c r="I615" s="67"/>
      <c r="J615" s="67"/>
      <c r="K615" s="68"/>
    </row>
    <row r="616" spans="3:11" x14ac:dyDescent="0.2">
      <c r="C616" s="66"/>
      <c r="H616" s="67"/>
      <c r="I616" s="67"/>
      <c r="J616" s="67"/>
      <c r="K616" s="68"/>
    </row>
    <row r="617" spans="3:11" x14ac:dyDescent="0.2">
      <c r="C617" s="66"/>
      <c r="H617" s="67"/>
      <c r="I617" s="67"/>
      <c r="J617" s="67"/>
      <c r="K617" s="68"/>
    </row>
    <row r="618" spans="3:11" x14ac:dyDescent="0.2">
      <c r="C618" s="66"/>
      <c r="H618" s="67"/>
      <c r="I618" s="67"/>
      <c r="J618" s="67"/>
      <c r="K618" s="68"/>
    </row>
    <row r="619" spans="3:11" x14ac:dyDescent="0.2">
      <c r="C619" s="66"/>
      <c r="H619" s="67"/>
      <c r="I619" s="67"/>
      <c r="J619" s="67"/>
      <c r="K619" s="68"/>
    </row>
    <row r="620" spans="3:11" x14ac:dyDescent="0.2">
      <c r="C620" s="66"/>
      <c r="H620" s="67"/>
      <c r="I620" s="67"/>
      <c r="J620" s="67"/>
      <c r="K620" s="68"/>
    </row>
    <row r="621" spans="3:11" x14ac:dyDescent="0.2">
      <c r="C621" s="66"/>
      <c r="H621" s="67"/>
      <c r="I621" s="67"/>
      <c r="J621" s="67"/>
      <c r="K621" s="68"/>
    </row>
    <row r="622" spans="3:11" x14ac:dyDescent="0.2">
      <c r="C622" s="66"/>
      <c r="H622" s="67"/>
      <c r="I622" s="67"/>
      <c r="J622" s="67"/>
      <c r="K622" s="68"/>
    </row>
    <row r="623" spans="3:11" x14ac:dyDescent="0.2">
      <c r="C623" s="66"/>
      <c r="H623" s="67"/>
      <c r="I623" s="67"/>
      <c r="J623" s="67"/>
      <c r="K623" s="68"/>
    </row>
    <row r="624" spans="3:11" x14ac:dyDescent="0.2">
      <c r="C624" s="66"/>
      <c r="H624" s="67"/>
      <c r="I624" s="67"/>
      <c r="J624" s="67"/>
      <c r="K624" s="68"/>
    </row>
    <row r="625" spans="3:11" x14ac:dyDescent="0.2">
      <c r="C625" s="66"/>
      <c r="H625" s="67"/>
      <c r="I625" s="67"/>
      <c r="J625" s="67"/>
      <c r="K625" s="68"/>
    </row>
    <row r="626" spans="3:11" x14ac:dyDescent="0.2">
      <c r="C626" s="66"/>
      <c r="H626" s="67"/>
      <c r="I626" s="67"/>
      <c r="J626" s="67"/>
      <c r="K626" s="68"/>
    </row>
    <row r="627" spans="3:11" x14ac:dyDescent="0.2">
      <c r="C627" s="66"/>
      <c r="H627" s="67"/>
      <c r="I627" s="67"/>
      <c r="J627" s="67"/>
      <c r="K627" s="68"/>
    </row>
    <row r="628" spans="3:11" x14ac:dyDescent="0.2">
      <c r="C628" s="66"/>
      <c r="H628" s="67"/>
      <c r="I628" s="67"/>
      <c r="J628" s="67"/>
      <c r="K628" s="68"/>
    </row>
    <row r="629" spans="3:11" x14ac:dyDescent="0.2">
      <c r="C629" s="66"/>
      <c r="H629" s="67"/>
      <c r="I629" s="67"/>
      <c r="J629" s="67"/>
      <c r="K629" s="68"/>
    </row>
    <row r="630" spans="3:11" x14ac:dyDescent="0.2">
      <c r="C630" s="66"/>
      <c r="H630" s="67"/>
      <c r="I630" s="67"/>
      <c r="J630" s="67"/>
      <c r="K630" s="68"/>
    </row>
    <row r="631" spans="3:11" x14ac:dyDescent="0.2">
      <c r="C631" s="66"/>
      <c r="H631" s="67"/>
      <c r="I631" s="67"/>
      <c r="J631" s="67"/>
      <c r="K631" s="68"/>
    </row>
    <row r="632" spans="3:11" x14ac:dyDescent="0.2">
      <c r="C632" s="66"/>
      <c r="H632" s="67"/>
      <c r="I632" s="67"/>
      <c r="J632" s="67"/>
      <c r="K632" s="68"/>
    </row>
    <row r="633" spans="3:11" x14ac:dyDescent="0.2">
      <c r="C633" s="66"/>
      <c r="H633" s="67"/>
      <c r="I633" s="67"/>
      <c r="J633" s="67"/>
      <c r="K633" s="68"/>
    </row>
    <row r="634" spans="3:11" x14ac:dyDescent="0.2">
      <c r="C634" s="66"/>
      <c r="H634" s="67"/>
      <c r="I634" s="67"/>
      <c r="J634" s="67"/>
      <c r="K634" s="68"/>
    </row>
    <row r="635" spans="3:11" x14ac:dyDescent="0.2">
      <c r="C635" s="66"/>
      <c r="H635" s="67"/>
      <c r="I635" s="67"/>
      <c r="J635" s="67"/>
      <c r="K635" s="68"/>
    </row>
    <row r="636" spans="3:11" x14ac:dyDescent="0.2">
      <c r="C636" s="66"/>
      <c r="H636" s="67"/>
      <c r="I636" s="67"/>
      <c r="J636" s="67"/>
      <c r="K636" s="68"/>
    </row>
    <row r="637" spans="3:11" x14ac:dyDescent="0.2">
      <c r="C637" s="66"/>
      <c r="H637" s="67"/>
      <c r="I637" s="67"/>
      <c r="J637" s="67"/>
      <c r="K637" s="68"/>
    </row>
    <row r="638" spans="3:11" x14ac:dyDescent="0.2">
      <c r="C638" s="66"/>
      <c r="H638" s="67"/>
      <c r="I638" s="67"/>
      <c r="J638" s="67"/>
      <c r="K638" s="68"/>
    </row>
    <row r="639" spans="3:11" x14ac:dyDescent="0.2">
      <c r="C639" s="66"/>
      <c r="H639" s="67"/>
      <c r="I639" s="67"/>
      <c r="J639" s="67"/>
      <c r="K639" s="68"/>
    </row>
    <row r="640" spans="3:11" x14ac:dyDescent="0.2">
      <c r="C640" s="66"/>
      <c r="H640" s="67"/>
      <c r="I640" s="67"/>
      <c r="J640" s="67"/>
      <c r="K640" s="68"/>
    </row>
    <row r="641" spans="3:11" x14ac:dyDescent="0.2">
      <c r="C641" s="66"/>
      <c r="H641" s="67"/>
      <c r="I641" s="67"/>
      <c r="J641" s="67"/>
      <c r="K641" s="68"/>
    </row>
    <row r="642" spans="3:11" x14ac:dyDescent="0.2">
      <c r="C642" s="66"/>
      <c r="H642" s="67"/>
      <c r="I642" s="67"/>
      <c r="J642" s="67"/>
      <c r="K642" s="68"/>
    </row>
    <row r="643" spans="3:11" x14ac:dyDescent="0.2">
      <c r="C643" s="66"/>
      <c r="H643" s="67"/>
      <c r="I643" s="67"/>
      <c r="J643" s="67"/>
      <c r="K643" s="68"/>
    </row>
    <row r="644" spans="3:11" x14ac:dyDescent="0.2">
      <c r="C644" s="66"/>
      <c r="H644" s="67"/>
      <c r="I644" s="67"/>
      <c r="J644" s="67"/>
      <c r="K644" s="68"/>
    </row>
    <row r="645" spans="3:11" x14ac:dyDescent="0.2">
      <c r="C645" s="66"/>
      <c r="H645" s="67"/>
      <c r="I645" s="67"/>
      <c r="J645" s="67"/>
      <c r="K645" s="68"/>
    </row>
    <row r="646" spans="3:11" x14ac:dyDescent="0.2">
      <c r="C646" s="66"/>
      <c r="H646" s="67"/>
      <c r="I646" s="67"/>
      <c r="J646" s="67"/>
      <c r="K646" s="68"/>
    </row>
    <row r="647" spans="3:11" x14ac:dyDescent="0.2">
      <c r="C647" s="66"/>
      <c r="H647" s="67"/>
      <c r="I647" s="67"/>
      <c r="J647" s="67"/>
      <c r="K647" s="68"/>
    </row>
    <row r="648" spans="3:11" x14ac:dyDescent="0.2">
      <c r="C648" s="66"/>
      <c r="H648" s="67"/>
      <c r="I648" s="67"/>
      <c r="J648" s="67"/>
      <c r="K648" s="68"/>
    </row>
    <row r="649" spans="3:11" x14ac:dyDescent="0.2">
      <c r="C649" s="66"/>
      <c r="H649" s="67"/>
      <c r="I649" s="67"/>
      <c r="J649" s="67"/>
      <c r="K649" s="68"/>
    </row>
    <row r="650" spans="3:11" x14ac:dyDescent="0.2">
      <c r="C650" s="66"/>
      <c r="H650" s="67"/>
      <c r="I650" s="67"/>
      <c r="J650" s="67"/>
      <c r="K650" s="68"/>
    </row>
    <row r="651" spans="3:11" x14ac:dyDescent="0.2">
      <c r="C651" s="66"/>
      <c r="H651" s="67"/>
      <c r="I651" s="67"/>
      <c r="J651" s="67"/>
      <c r="K651" s="68"/>
    </row>
    <row r="652" spans="3:11" x14ac:dyDescent="0.2">
      <c r="C652" s="66"/>
      <c r="H652" s="67"/>
      <c r="I652" s="67"/>
      <c r="J652" s="67"/>
      <c r="K652" s="68"/>
    </row>
    <row r="653" spans="3:11" x14ac:dyDescent="0.2">
      <c r="C653" s="66"/>
      <c r="H653" s="67"/>
      <c r="I653" s="67"/>
      <c r="J653" s="67"/>
      <c r="K653" s="68"/>
    </row>
    <row r="654" spans="3:11" x14ac:dyDescent="0.2">
      <c r="C654" s="66"/>
      <c r="H654" s="67"/>
      <c r="I654" s="67"/>
      <c r="J654" s="67"/>
      <c r="K654" s="68"/>
    </row>
    <row r="655" spans="3:11" x14ac:dyDescent="0.2">
      <c r="C655" s="66"/>
      <c r="H655" s="67"/>
      <c r="I655" s="67"/>
      <c r="J655" s="67"/>
      <c r="K655" s="68"/>
    </row>
    <row r="656" spans="3:11" x14ac:dyDescent="0.2">
      <c r="C656" s="66"/>
      <c r="H656" s="67"/>
      <c r="I656" s="67"/>
      <c r="J656" s="67"/>
      <c r="K656" s="68"/>
    </row>
    <row r="657" spans="3:11" x14ac:dyDescent="0.2">
      <c r="C657" s="66"/>
      <c r="H657" s="67"/>
      <c r="I657" s="67"/>
      <c r="J657" s="67"/>
      <c r="K657" s="68"/>
    </row>
    <row r="658" spans="3:11" x14ac:dyDescent="0.2">
      <c r="C658" s="66"/>
      <c r="H658" s="67"/>
      <c r="I658" s="67"/>
      <c r="J658" s="67"/>
      <c r="K658" s="68"/>
    </row>
    <row r="659" spans="3:11" x14ac:dyDescent="0.2">
      <c r="C659" s="66"/>
      <c r="H659" s="67"/>
      <c r="I659" s="67"/>
      <c r="J659" s="67"/>
      <c r="K659" s="68"/>
    </row>
    <row r="660" spans="3:11" x14ac:dyDescent="0.2">
      <c r="C660" s="66"/>
      <c r="H660" s="67"/>
      <c r="I660" s="67"/>
      <c r="J660" s="67"/>
      <c r="K660" s="68"/>
    </row>
    <row r="661" spans="3:11" x14ac:dyDescent="0.2">
      <c r="C661" s="66"/>
      <c r="H661" s="67"/>
      <c r="I661" s="67"/>
      <c r="J661" s="67"/>
      <c r="K661" s="68"/>
    </row>
    <row r="662" spans="3:11" x14ac:dyDescent="0.2">
      <c r="C662" s="66"/>
      <c r="H662" s="67"/>
      <c r="I662" s="67"/>
      <c r="J662" s="67"/>
      <c r="K662" s="68"/>
    </row>
    <row r="663" spans="3:11" x14ac:dyDescent="0.2">
      <c r="C663" s="66"/>
      <c r="H663" s="67"/>
      <c r="I663" s="67"/>
      <c r="J663" s="67"/>
      <c r="K663" s="68"/>
    </row>
    <row r="664" spans="3:11" x14ac:dyDescent="0.2">
      <c r="C664" s="66"/>
      <c r="H664" s="67"/>
      <c r="I664" s="67"/>
      <c r="J664" s="67"/>
      <c r="K664" s="68"/>
    </row>
    <row r="665" spans="3:11" x14ac:dyDescent="0.2">
      <c r="C665" s="66"/>
      <c r="H665" s="67"/>
      <c r="I665" s="67"/>
      <c r="J665" s="67"/>
      <c r="K665" s="68"/>
    </row>
    <row r="666" spans="3:11" x14ac:dyDescent="0.2">
      <c r="C666" s="66"/>
      <c r="H666" s="67"/>
      <c r="I666" s="67"/>
      <c r="J666" s="67"/>
      <c r="K666" s="68"/>
    </row>
    <row r="667" spans="3:11" x14ac:dyDescent="0.2">
      <c r="C667" s="66"/>
      <c r="H667" s="67"/>
      <c r="I667" s="67"/>
      <c r="J667" s="67"/>
      <c r="K667" s="68"/>
    </row>
    <row r="668" spans="3:11" x14ac:dyDescent="0.2">
      <c r="C668" s="66"/>
      <c r="H668" s="67"/>
      <c r="I668" s="67"/>
      <c r="J668" s="67"/>
      <c r="K668" s="68"/>
    </row>
    <row r="669" spans="3:11" x14ac:dyDescent="0.2">
      <c r="C669" s="66"/>
      <c r="H669" s="67"/>
      <c r="I669" s="67"/>
      <c r="J669" s="67"/>
      <c r="K669" s="68"/>
    </row>
    <row r="670" spans="3:11" x14ac:dyDescent="0.2">
      <c r="C670" s="66"/>
      <c r="H670" s="67"/>
      <c r="I670" s="67"/>
      <c r="J670" s="67"/>
      <c r="K670" s="68"/>
    </row>
    <row r="671" spans="3:11" x14ac:dyDescent="0.2">
      <c r="C671" s="66"/>
      <c r="H671" s="67"/>
      <c r="I671" s="67"/>
      <c r="J671" s="67"/>
      <c r="K671" s="68"/>
    </row>
    <row r="672" spans="3:11" x14ac:dyDescent="0.2">
      <c r="C672" s="66"/>
      <c r="H672" s="67"/>
      <c r="I672" s="67"/>
      <c r="J672" s="67"/>
      <c r="K672" s="68"/>
    </row>
    <row r="673" spans="3:11" x14ac:dyDescent="0.2">
      <c r="C673" s="66"/>
      <c r="H673" s="67"/>
      <c r="I673" s="67"/>
      <c r="J673" s="67"/>
      <c r="K673" s="68"/>
    </row>
    <row r="674" spans="3:11" x14ac:dyDescent="0.2">
      <c r="C674" s="66"/>
      <c r="H674" s="67"/>
      <c r="I674" s="67"/>
      <c r="J674" s="67"/>
      <c r="K674" s="68"/>
    </row>
    <row r="675" spans="3:11" x14ac:dyDescent="0.2">
      <c r="C675" s="66"/>
      <c r="H675" s="67"/>
      <c r="I675" s="67"/>
      <c r="J675" s="67"/>
      <c r="K675" s="68"/>
    </row>
    <row r="676" spans="3:11" x14ac:dyDescent="0.2">
      <c r="C676" s="66"/>
      <c r="H676" s="67"/>
      <c r="I676" s="67"/>
      <c r="J676" s="67"/>
      <c r="K676" s="68"/>
    </row>
    <row r="677" spans="3:11" x14ac:dyDescent="0.2">
      <c r="C677" s="66"/>
      <c r="H677" s="67"/>
      <c r="I677" s="67"/>
      <c r="J677" s="67"/>
      <c r="K677" s="68"/>
    </row>
    <row r="678" spans="3:11" x14ac:dyDescent="0.2">
      <c r="C678" s="66"/>
      <c r="H678" s="67"/>
      <c r="I678" s="67"/>
      <c r="J678" s="67"/>
      <c r="K678" s="68"/>
    </row>
    <row r="679" spans="3:11" x14ac:dyDescent="0.2">
      <c r="C679" s="66"/>
      <c r="H679" s="67"/>
      <c r="I679" s="67"/>
      <c r="J679" s="67"/>
      <c r="K679" s="68"/>
    </row>
    <row r="680" spans="3:11" x14ac:dyDescent="0.2">
      <c r="C680" s="66"/>
      <c r="H680" s="67"/>
      <c r="I680" s="67"/>
      <c r="J680" s="67"/>
      <c r="K680" s="68"/>
    </row>
    <row r="681" spans="3:11" x14ac:dyDescent="0.2">
      <c r="C681" s="66"/>
      <c r="H681" s="67"/>
      <c r="I681" s="67"/>
      <c r="J681" s="67"/>
      <c r="K681" s="68"/>
    </row>
    <row r="682" spans="3:11" x14ac:dyDescent="0.2">
      <c r="C682" s="66"/>
      <c r="H682" s="67"/>
      <c r="I682" s="67"/>
      <c r="J682" s="67"/>
      <c r="K682" s="68"/>
    </row>
    <row r="683" spans="3:11" x14ac:dyDescent="0.2">
      <c r="C683" s="66"/>
      <c r="H683" s="67"/>
      <c r="I683" s="67"/>
      <c r="J683" s="67"/>
      <c r="K683" s="68"/>
    </row>
    <row r="684" spans="3:11" x14ac:dyDescent="0.2">
      <c r="C684" s="66"/>
      <c r="H684" s="67"/>
      <c r="I684" s="67"/>
      <c r="J684" s="67"/>
      <c r="K684" s="68"/>
    </row>
    <row r="685" spans="3:11" x14ac:dyDescent="0.2">
      <c r="C685" s="66"/>
      <c r="H685" s="67"/>
      <c r="I685" s="67"/>
      <c r="J685" s="67"/>
      <c r="K685" s="68"/>
    </row>
    <row r="686" spans="3:11" x14ac:dyDescent="0.2">
      <c r="C686" s="66"/>
      <c r="H686" s="67"/>
      <c r="I686" s="67"/>
      <c r="J686" s="67"/>
      <c r="K686" s="68"/>
    </row>
    <row r="687" spans="3:11" x14ac:dyDescent="0.2">
      <c r="C687" s="66"/>
      <c r="H687" s="67"/>
      <c r="I687" s="67"/>
      <c r="J687" s="67"/>
      <c r="K687" s="68"/>
    </row>
    <row r="688" spans="3:11" x14ac:dyDescent="0.2">
      <c r="C688" s="66"/>
      <c r="H688" s="67"/>
      <c r="I688" s="67"/>
      <c r="J688" s="67"/>
      <c r="K688" s="68"/>
    </row>
    <row r="689" spans="3:11" x14ac:dyDescent="0.2">
      <c r="C689" s="66"/>
      <c r="H689" s="67"/>
      <c r="I689" s="67"/>
      <c r="J689" s="67"/>
      <c r="K689" s="68"/>
    </row>
    <row r="690" spans="3:11" x14ac:dyDescent="0.2">
      <c r="C690" s="66"/>
      <c r="H690" s="67"/>
      <c r="I690" s="67"/>
      <c r="J690" s="67"/>
      <c r="K690" s="68"/>
    </row>
    <row r="691" spans="3:11" x14ac:dyDescent="0.2">
      <c r="C691" s="66"/>
      <c r="H691" s="67"/>
      <c r="I691" s="67"/>
      <c r="J691" s="67"/>
      <c r="K691" s="68"/>
    </row>
    <row r="692" spans="3:11" x14ac:dyDescent="0.2">
      <c r="C692" s="66"/>
      <c r="H692" s="67"/>
      <c r="I692" s="67"/>
      <c r="J692" s="67"/>
      <c r="K692" s="68"/>
    </row>
    <row r="693" spans="3:11" x14ac:dyDescent="0.2">
      <c r="C693" s="66"/>
      <c r="H693" s="67"/>
      <c r="I693" s="67"/>
      <c r="J693" s="67"/>
      <c r="K693" s="68"/>
    </row>
    <row r="694" spans="3:11" x14ac:dyDescent="0.2">
      <c r="C694" s="66"/>
      <c r="H694" s="67"/>
      <c r="I694" s="67"/>
      <c r="J694" s="67"/>
      <c r="K694" s="68"/>
    </row>
    <row r="695" spans="3:11" x14ac:dyDescent="0.2">
      <c r="C695" s="66"/>
      <c r="H695" s="67"/>
      <c r="I695" s="67"/>
      <c r="J695" s="67"/>
      <c r="K695" s="68"/>
    </row>
    <row r="696" spans="3:11" x14ac:dyDescent="0.2">
      <c r="C696" s="66"/>
      <c r="H696" s="67"/>
      <c r="I696" s="67"/>
      <c r="J696" s="67"/>
      <c r="K696" s="68"/>
    </row>
    <row r="697" spans="3:11" x14ac:dyDescent="0.2">
      <c r="C697" s="66"/>
      <c r="H697" s="67"/>
      <c r="I697" s="67"/>
      <c r="J697" s="67"/>
      <c r="K697" s="68"/>
    </row>
    <row r="698" spans="3:11" x14ac:dyDescent="0.2">
      <c r="C698" s="66"/>
      <c r="H698" s="67"/>
      <c r="I698" s="67"/>
      <c r="J698" s="67"/>
      <c r="K698" s="68"/>
    </row>
    <row r="699" spans="3:11" x14ac:dyDescent="0.2">
      <c r="C699" s="66"/>
      <c r="H699" s="67"/>
      <c r="I699" s="67"/>
      <c r="J699" s="67"/>
      <c r="K699" s="68"/>
    </row>
    <row r="700" spans="3:11" x14ac:dyDescent="0.2">
      <c r="C700" s="66"/>
      <c r="H700" s="67"/>
      <c r="I700" s="67"/>
      <c r="J700" s="67"/>
      <c r="K700" s="68"/>
    </row>
    <row r="701" spans="3:11" x14ac:dyDescent="0.2">
      <c r="C701" s="66"/>
      <c r="H701" s="67"/>
      <c r="I701" s="67"/>
      <c r="J701" s="67"/>
      <c r="K701" s="68"/>
    </row>
    <row r="702" spans="3:11" x14ac:dyDescent="0.2">
      <c r="C702" s="66"/>
      <c r="H702" s="67"/>
      <c r="I702" s="67"/>
      <c r="J702" s="67"/>
      <c r="K702" s="68"/>
    </row>
    <row r="703" spans="3:11" x14ac:dyDescent="0.2">
      <c r="C703" s="66"/>
      <c r="H703" s="67"/>
      <c r="I703" s="67"/>
      <c r="J703" s="67"/>
      <c r="K703" s="68"/>
    </row>
    <row r="704" spans="3:11" x14ac:dyDescent="0.2">
      <c r="C704" s="66"/>
      <c r="H704" s="67"/>
      <c r="I704" s="67"/>
      <c r="J704" s="67"/>
      <c r="K704" s="68"/>
    </row>
    <row r="705" spans="3:11" x14ac:dyDescent="0.2">
      <c r="C705" s="66"/>
      <c r="H705" s="67"/>
      <c r="I705" s="67"/>
      <c r="J705" s="67"/>
      <c r="K705" s="68"/>
    </row>
    <row r="706" spans="3:11" x14ac:dyDescent="0.2">
      <c r="C706" s="66"/>
      <c r="H706" s="67"/>
      <c r="I706" s="67"/>
      <c r="J706" s="67"/>
      <c r="K706" s="68"/>
    </row>
    <row r="707" spans="3:11" x14ac:dyDescent="0.2">
      <c r="C707" s="66"/>
      <c r="H707" s="67"/>
      <c r="I707" s="67"/>
      <c r="J707" s="67"/>
      <c r="K707" s="68"/>
    </row>
    <row r="708" spans="3:11" x14ac:dyDescent="0.2">
      <c r="C708" s="66"/>
      <c r="H708" s="67"/>
      <c r="I708" s="67"/>
      <c r="J708" s="67"/>
      <c r="K708" s="68"/>
    </row>
    <row r="709" spans="3:11" x14ac:dyDescent="0.2">
      <c r="C709" s="66"/>
      <c r="H709" s="67"/>
      <c r="I709" s="67"/>
      <c r="J709" s="67"/>
      <c r="K709" s="68"/>
    </row>
    <row r="710" spans="3:11" x14ac:dyDescent="0.2">
      <c r="C710" s="66"/>
      <c r="H710" s="67"/>
      <c r="I710" s="67"/>
      <c r="J710" s="67"/>
      <c r="K710" s="68"/>
    </row>
    <row r="711" spans="3:11" x14ac:dyDescent="0.2">
      <c r="C711" s="66"/>
      <c r="H711" s="67"/>
      <c r="I711" s="67"/>
      <c r="J711" s="67"/>
      <c r="K711" s="68"/>
    </row>
    <row r="712" spans="3:11" x14ac:dyDescent="0.2">
      <c r="C712" s="66"/>
      <c r="H712" s="67"/>
      <c r="I712" s="67"/>
      <c r="J712" s="67"/>
      <c r="K712" s="68"/>
    </row>
    <row r="713" spans="3:11" x14ac:dyDescent="0.2">
      <c r="C713" s="66"/>
      <c r="H713" s="67"/>
      <c r="I713" s="67"/>
      <c r="J713" s="67"/>
      <c r="K713" s="68"/>
    </row>
    <row r="714" spans="3:11" x14ac:dyDescent="0.2">
      <c r="C714" s="66"/>
      <c r="H714" s="67"/>
      <c r="I714" s="67"/>
      <c r="J714" s="67"/>
      <c r="K714" s="68"/>
    </row>
    <row r="715" spans="3:11" x14ac:dyDescent="0.2">
      <c r="C715" s="66"/>
      <c r="H715" s="67"/>
      <c r="I715" s="67"/>
      <c r="J715" s="67"/>
      <c r="K715" s="68"/>
    </row>
    <row r="716" spans="3:11" x14ac:dyDescent="0.2">
      <c r="C716" s="66"/>
      <c r="H716" s="67"/>
      <c r="I716" s="67"/>
      <c r="J716" s="67"/>
      <c r="K716" s="68"/>
    </row>
    <row r="717" spans="3:11" x14ac:dyDescent="0.2">
      <c r="C717" s="66"/>
      <c r="H717" s="67"/>
      <c r="I717" s="67"/>
      <c r="J717" s="67"/>
      <c r="K717" s="68"/>
    </row>
    <row r="718" spans="3:11" x14ac:dyDescent="0.2">
      <c r="C718" s="66"/>
      <c r="H718" s="67"/>
      <c r="I718" s="67"/>
      <c r="J718" s="67"/>
      <c r="K718" s="68"/>
    </row>
    <row r="719" spans="3:11" x14ac:dyDescent="0.2">
      <c r="C719" s="66"/>
      <c r="H719" s="67"/>
      <c r="I719" s="67"/>
      <c r="J719" s="67"/>
      <c r="K719" s="68"/>
    </row>
    <row r="720" spans="3:11" x14ac:dyDescent="0.2">
      <c r="C720" s="66"/>
      <c r="H720" s="67"/>
      <c r="I720" s="67"/>
      <c r="J720" s="67"/>
      <c r="K720" s="68"/>
    </row>
    <row r="721" spans="3:11" x14ac:dyDescent="0.2">
      <c r="C721" s="66"/>
      <c r="H721" s="67"/>
      <c r="I721" s="67"/>
      <c r="J721" s="67"/>
      <c r="K721" s="68"/>
    </row>
    <row r="722" spans="3:11" x14ac:dyDescent="0.2">
      <c r="C722" s="66"/>
      <c r="H722" s="67"/>
      <c r="I722" s="67"/>
      <c r="J722" s="67"/>
      <c r="K722" s="68"/>
    </row>
    <row r="723" spans="3:11" x14ac:dyDescent="0.2">
      <c r="C723" s="66"/>
      <c r="H723" s="67"/>
      <c r="I723" s="67"/>
      <c r="J723" s="67"/>
      <c r="K723" s="68"/>
    </row>
    <row r="724" spans="3:11" x14ac:dyDescent="0.2">
      <c r="C724" s="66"/>
      <c r="H724" s="67"/>
      <c r="I724" s="67"/>
      <c r="J724" s="67"/>
      <c r="K724" s="68"/>
    </row>
    <row r="725" spans="3:11" x14ac:dyDescent="0.2">
      <c r="C725" s="66"/>
      <c r="H725" s="67"/>
      <c r="I725" s="67"/>
      <c r="J725" s="67"/>
      <c r="K725" s="68"/>
    </row>
    <row r="726" spans="3:11" x14ac:dyDescent="0.2">
      <c r="C726" s="66"/>
      <c r="H726" s="67"/>
      <c r="I726" s="67"/>
      <c r="J726" s="67"/>
      <c r="K726" s="68"/>
    </row>
    <row r="727" spans="3:11" x14ac:dyDescent="0.2">
      <c r="C727" s="66"/>
      <c r="H727" s="67"/>
      <c r="I727" s="67"/>
      <c r="J727" s="67"/>
      <c r="K727" s="68"/>
    </row>
    <row r="728" spans="3:11" x14ac:dyDescent="0.2">
      <c r="C728" s="66"/>
      <c r="H728" s="67"/>
      <c r="I728" s="67"/>
      <c r="J728" s="67"/>
      <c r="K728" s="68"/>
    </row>
    <row r="729" spans="3:11" x14ac:dyDescent="0.2">
      <c r="C729" s="66"/>
      <c r="H729" s="67"/>
      <c r="I729" s="67"/>
      <c r="J729" s="67"/>
      <c r="K729" s="68"/>
    </row>
    <row r="730" spans="3:11" x14ac:dyDescent="0.2">
      <c r="C730" s="66"/>
      <c r="H730" s="67"/>
      <c r="I730" s="67"/>
      <c r="J730" s="67"/>
      <c r="K730" s="68"/>
    </row>
    <row r="731" spans="3:11" x14ac:dyDescent="0.2">
      <c r="C731" s="66"/>
      <c r="H731" s="67"/>
      <c r="I731" s="67"/>
      <c r="J731" s="67"/>
      <c r="K731" s="68"/>
    </row>
    <row r="732" spans="3:11" x14ac:dyDescent="0.2">
      <c r="C732" s="66"/>
      <c r="H732" s="67"/>
      <c r="I732" s="67"/>
      <c r="J732" s="67"/>
      <c r="K732" s="68"/>
    </row>
    <row r="733" spans="3:11" x14ac:dyDescent="0.2">
      <c r="C733" s="66"/>
      <c r="H733" s="67"/>
      <c r="I733" s="67"/>
      <c r="J733" s="67"/>
      <c r="K733" s="68"/>
    </row>
    <row r="734" spans="3:11" x14ac:dyDescent="0.2">
      <c r="C734" s="66"/>
      <c r="H734" s="67"/>
      <c r="I734" s="67"/>
      <c r="J734" s="67"/>
      <c r="K734" s="68"/>
    </row>
    <row r="735" spans="3:11" x14ac:dyDescent="0.2">
      <c r="C735" s="66"/>
      <c r="H735" s="67"/>
      <c r="I735" s="67"/>
      <c r="J735" s="67"/>
      <c r="K735" s="68"/>
    </row>
    <row r="736" spans="3:11" x14ac:dyDescent="0.2">
      <c r="C736" s="66"/>
      <c r="H736" s="67"/>
      <c r="I736" s="67"/>
      <c r="J736" s="67"/>
      <c r="K736" s="68"/>
    </row>
    <row r="737" spans="3:11" x14ac:dyDescent="0.2">
      <c r="C737" s="66"/>
      <c r="H737" s="67"/>
      <c r="I737" s="67"/>
      <c r="J737" s="67"/>
      <c r="K737" s="68"/>
    </row>
    <row r="738" spans="3:11" x14ac:dyDescent="0.2">
      <c r="C738" s="66"/>
      <c r="H738" s="67"/>
      <c r="I738" s="67"/>
      <c r="J738" s="67"/>
      <c r="K738" s="68"/>
    </row>
    <row r="739" spans="3:11" x14ac:dyDescent="0.2">
      <c r="C739" s="66"/>
      <c r="H739" s="67"/>
      <c r="I739" s="67"/>
      <c r="J739" s="67"/>
      <c r="K739" s="68"/>
    </row>
    <row r="740" spans="3:11" x14ac:dyDescent="0.2">
      <c r="C740" s="66"/>
      <c r="H740" s="67"/>
      <c r="I740" s="67"/>
      <c r="J740" s="67"/>
      <c r="K740" s="68"/>
    </row>
    <row r="741" spans="3:11" x14ac:dyDescent="0.2">
      <c r="C741" s="66"/>
      <c r="H741" s="67"/>
      <c r="I741" s="67"/>
      <c r="J741" s="67"/>
      <c r="K741" s="68"/>
    </row>
    <row r="742" spans="3:11" x14ac:dyDescent="0.2">
      <c r="C742" s="66"/>
      <c r="H742" s="67"/>
      <c r="I742" s="67"/>
      <c r="J742" s="67"/>
      <c r="K742" s="68"/>
    </row>
    <row r="743" spans="3:11" x14ac:dyDescent="0.2">
      <c r="C743" s="66"/>
      <c r="H743" s="67"/>
      <c r="I743" s="67"/>
      <c r="J743" s="67"/>
      <c r="K743" s="68"/>
    </row>
    <row r="744" spans="3:11" x14ac:dyDescent="0.2">
      <c r="C744" s="66"/>
      <c r="H744" s="67"/>
      <c r="I744" s="67"/>
      <c r="J744" s="67"/>
      <c r="K744" s="68"/>
    </row>
    <row r="745" spans="3:11" x14ac:dyDescent="0.2">
      <c r="C745" s="66"/>
      <c r="H745" s="67"/>
      <c r="I745" s="67"/>
      <c r="J745" s="67"/>
      <c r="K745" s="68"/>
    </row>
    <row r="746" spans="3:11" x14ac:dyDescent="0.2">
      <c r="C746" s="66"/>
      <c r="H746" s="67"/>
      <c r="I746" s="67"/>
      <c r="J746" s="67"/>
      <c r="K746" s="68"/>
    </row>
    <row r="747" spans="3:11" x14ac:dyDescent="0.2">
      <c r="C747" s="66"/>
      <c r="H747" s="67"/>
      <c r="I747" s="67"/>
      <c r="J747" s="67"/>
      <c r="K747" s="68"/>
    </row>
    <row r="748" spans="3:11" x14ac:dyDescent="0.2">
      <c r="C748" s="66"/>
      <c r="H748" s="67"/>
      <c r="I748" s="67"/>
      <c r="J748" s="67"/>
      <c r="K748" s="68"/>
    </row>
    <row r="749" spans="3:11" x14ac:dyDescent="0.2">
      <c r="C749" s="66"/>
      <c r="H749" s="67"/>
      <c r="I749" s="67"/>
      <c r="J749" s="67"/>
      <c r="K749" s="68"/>
    </row>
    <row r="750" spans="3:11" x14ac:dyDescent="0.2">
      <c r="C750" s="66"/>
      <c r="H750" s="67"/>
      <c r="I750" s="67"/>
      <c r="J750" s="67"/>
      <c r="K750" s="68"/>
    </row>
    <row r="751" spans="3:11" x14ac:dyDescent="0.2">
      <c r="C751" s="66"/>
      <c r="H751" s="67"/>
      <c r="I751" s="67"/>
      <c r="J751" s="67"/>
      <c r="K751" s="68"/>
    </row>
    <row r="752" spans="3:11" x14ac:dyDescent="0.2">
      <c r="C752" s="66"/>
      <c r="H752" s="67"/>
      <c r="I752" s="67"/>
      <c r="J752" s="67"/>
      <c r="K752" s="68"/>
    </row>
    <row r="753" spans="3:11" x14ac:dyDescent="0.2">
      <c r="C753" s="66"/>
      <c r="H753" s="67"/>
      <c r="I753" s="67"/>
      <c r="J753" s="67"/>
      <c r="K753" s="68"/>
    </row>
    <row r="754" spans="3:11" x14ac:dyDescent="0.2">
      <c r="C754" s="66"/>
      <c r="H754" s="67"/>
      <c r="I754" s="67"/>
      <c r="J754" s="67"/>
      <c r="K754" s="68"/>
    </row>
    <row r="755" spans="3:11" x14ac:dyDescent="0.2">
      <c r="C755" s="66"/>
      <c r="H755" s="67"/>
      <c r="I755" s="67"/>
      <c r="J755" s="67"/>
      <c r="K755" s="68"/>
    </row>
    <row r="756" spans="3:11" x14ac:dyDescent="0.2">
      <c r="C756" s="66"/>
      <c r="H756" s="67"/>
      <c r="I756" s="67"/>
      <c r="J756" s="67"/>
      <c r="K756" s="68"/>
    </row>
    <row r="757" spans="3:11" x14ac:dyDescent="0.2">
      <c r="C757" s="66"/>
      <c r="H757" s="67"/>
      <c r="I757" s="67"/>
      <c r="J757" s="67"/>
      <c r="K757" s="68"/>
    </row>
    <row r="758" spans="3:11" x14ac:dyDescent="0.2">
      <c r="C758" s="66"/>
      <c r="H758" s="67"/>
      <c r="I758" s="67"/>
      <c r="J758" s="67"/>
      <c r="K758" s="68"/>
    </row>
    <row r="759" spans="3:11" x14ac:dyDescent="0.2">
      <c r="C759" s="66"/>
      <c r="H759" s="67"/>
      <c r="I759" s="67"/>
      <c r="J759" s="67"/>
      <c r="K759" s="68"/>
    </row>
    <row r="760" spans="3:11" x14ac:dyDescent="0.2">
      <c r="C760" s="66"/>
      <c r="H760" s="67"/>
      <c r="I760" s="67"/>
      <c r="J760" s="67"/>
      <c r="K760" s="68"/>
    </row>
    <row r="761" spans="3:11" x14ac:dyDescent="0.2">
      <c r="C761" s="66"/>
      <c r="H761" s="67"/>
      <c r="I761" s="67"/>
      <c r="J761" s="67"/>
      <c r="K761" s="68"/>
    </row>
    <row r="762" spans="3:11" x14ac:dyDescent="0.2">
      <c r="C762" s="66"/>
      <c r="H762" s="67"/>
      <c r="I762" s="67"/>
      <c r="J762" s="67"/>
      <c r="K762" s="68"/>
    </row>
    <row r="763" spans="3:11" x14ac:dyDescent="0.2">
      <c r="C763" s="66"/>
      <c r="H763" s="67"/>
      <c r="I763" s="67"/>
      <c r="J763" s="67"/>
      <c r="K763" s="68"/>
    </row>
    <row r="764" spans="3:11" x14ac:dyDescent="0.2">
      <c r="C764" s="66"/>
      <c r="H764" s="67"/>
      <c r="I764" s="67"/>
      <c r="J764" s="67"/>
      <c r="K764" s="68"/>
    </row>
    <row r="765" spans="3:11" x14ac:dyDescent="0.2">
      <c r="C765" s="66"/>
      <c r="H765" s="67"/>
      <c r="I765" s="67"/>
      <c r="J765" s="67"/>
      <c r="K765" s="68"/>
    </row>
    <row r="766" spans="3:11" x14ac:dyDescent="0.2">
      <c r="C766" s="66"/>
      <c r="H766" s="67"/>
      <c r="I766" s="67"/>
      <c r="J766" s="67"/>
      <c r="K766" s="68"/>
    </row>
    <row r="767" spans="3:11" x14ac:dyDescent="0.2">
      <c r="C767" s="66"/>
      <c r="H767" s="67"/>
      <c r="I767" s="67"/>
      <c r="J767" s="67"/>
      <c r="K767" s="68"/>
    </row>
    <row r="768" spans="3:11" x14ac:dyDescent="0.2">
      <c r="C768" s="66"/>
      <c r="H768" s="67"/>
      <c r="I768" s="67"/>
      <c r="J768" s="67"/>
      <c r="K768" s="68"/>
    </row>
    <row r="769" spans="3:11" x14ac:dyDescent="0.2">
      <c r="C769" s="66"/>
      <c r="H769" s="67"/>
      <c r="I769" s="67"/>
      <c r="J769" s="67"/>
      <c r="K769" s="68"/>
    </row>
    <row r="770" spans="3:11" x14ac:dyDescent="0.2">
      <c r="C770" s="66"/>
      <c r="H770" s="67"/>
      <c r="I770" s="67"/>
      <c r="J770" s="67"/>
      <c r="K770" s="68"/>
    </row>
    <row r="771" spans="3:11" x14ac:dyDescent="0.2">
      <c r="C771" s="66"/>
      <c r="H771" s="67"/>
      <c r="I771" s="67"/>
      <c r="J771" s="67"/>
      <c r="K771" s="68"/>
    </row>
    <row r="772" spans="3:11" x14ac:dyDescent="0.2">
      <c r="C772" s="66"/>
      <c r="H772" s="67"/>
      <c r="I772" s="67"/>
      <c r="J772" s="67"/>
      <c r="K772" s="68"/>
    </row>
    <row r="773" spans="3:11" x14ac:dyDescent="0.2">
      <c r="C773" s="66"/>
      <c r="H773" s="67"/>
      <c r="I773" s="67"/>
      <c r="J773" s="67"/>
      <c r="K773" s="68"/>
    </row>
    <row r="774" spans="3:11" x14ac:dyDescent="0.2">
      <c r="C774" s="66"/>
      <c r="H774" s="67"/>
      <c r="I774" s="67"/>
      <c r="J774" s="67"/>
      <c r="K774" s="68"/>
    </row>
    <row r="775" spans="3:11" x14ac:dyDescent="0.2">
      <c r="C775" s="66"/>
      <c r="H775" s="67"/>
      <c r="I775" s="67"/>
      <c r="J775" s="67"/>
      <c r="K775" s="68"/>
    </row>
    <row r="776" spans="3:11" x14ac:dyDescent="0.2">
      <c r="C776" s="66"/>
      <c r="H776" s="67"/>
      <c r="I776" s="67"/>
      <c r="J776" s="67"/>
      <c r="K776" s="68"/>
    </row>
    <row r="777" spans="3:11" x14ac:dyDescent="0.2">
      <c r="C777" s="66"/>
      <c r="H777" s="67"/>
      <c r="I777" s="67"/>
      <c r="J777" s="67"/>
      <c r="K777" s="68"/>
    </row>
    <row r="778" spans="3:11" x14ac:dyDescent="0.2">
      <c r="C778" s="66"/>
      <c r="H778" s="67"/>
      <c r="I778" s="67"/>
      <c r="J778" s="67"/>
      <c r="K778" s="68"/>
    </row>
    <row r="779" spans="3:11" x14ac:dyDescent="0.2">
      <c r="C779" s="66"/>
      <c r="H779" s="67"/>
      <c r="I779" s="67"/>
      <c r="J779" s="67"/>
      <c r="K779" s="68"/>
    </row>
    <row r="780" spans="3:11" x14ac:dyDescent="0.2">
      <c r="C780" s="66"/>
      <c r="H780" s="67"/>
      <c r="I780" s="67"/>
      <c r="J780" s="67"/>
      <c r="K780" s="68"/>
    </row>
    <row r="781" spans="3:11" x14ac:dyDescent="0.2">
      <c r="C781" s="66"/>
      <c r="H781" s="67"/>
      <c r="I781" s="67"/>
      <c r="J781" s="67"/>
      <c r="K781" s="68"/>
    </row>
    <row r="782" spans="3:11" x14ac:dyDescent="0.2">
      <c r="C782" s="66"/>
      <c r="H782" s="67"/>
      <c r="I782" s="67"/>
      <c r="J782" s="67"/>
      <c r="K782" s="68"/>
    </row>
    <row r="783" spans="3:11" x14ac:dyDescent="0.2">
      <c r="C783" s="66"/>
      <c r="H783" s="67"/>
      <c r="I783" s="67"/>
      <c r="J783" s="67"/>
      <c r="K783" s="68"/>
    </row>
    <row r="784" spans="3:11" x14ac:dyDescent="0.2">
      <c r="C784" s="66"/>
      <c r="H784" s="67"/>
      <c r="I784" s="67"/>
      <c r="J784" s="67"/>
      <c r="K784" s="68"/>
    </row>
    <row r="785" spans="3:11" x14ac:dyDescent="0.2">
      <c r="C785" s="66"/>
      <c r="H785" s="67"/>
      <c r="I785" s="67"/>
      <c r="J785" s="67"/>
      <c r="K785" s="68"/>
    </row>
    <row r="786" spans="3:11" x14ac:dyDescent="0.2">
      <c r="C786" s="66"/>
      <c r="H786" s="67"/>
      <c r="I786" s="67"/>
      <c r="J786" s="67"/>
      <c r="K786" s="68"/>
    </row>
    <row r="787" spans="3:11" x14ac:dyDescent="0.2">
      <c r="C787" s="66"/>
      <c r="H787" s="67"/>
      <c r="I787" s="67"/>
      <c r="J787" s="67"/>
      <c r="K787" s="68"/>
    </row>
    <row r="788" spans="3:11" x14ac:dyDescent="0.2">
      <c r="C788" s="66"/>
      <c r="H788" s="67"/>
      <c r="I788" s="67"/>
      <c r="J788" s="67"/>
      <c r="K788" s="68"/>
    </row>
    <row r="789" spans="3:11" x14ac:dyDescent="0.2">
      <c r="C789" s="66"/>
      <c r="H789" s="67"/>
      <c r="I789" s="67"/>
      <c r="J789" s="67"/>
      <c r="K789" s="68"/>
    </row>
    <row r="790" spans="3:11" x14ac:dyDescent="0.2">
      <c r="C790" s="66"/>
      <c r="H790" s="67"/>
      <c r="I790" s="67"/>
      <c r="J790" s="67"/>
      <c r="K790" s="68"/>
    </row>
    <row r="791" spans="3:11" x14ac:dyDescent="0.2">
      <c r="C791" s="66"/>
      <c r="H791" s="67"/>
      <c r="I791" s="67"/>
      <c r="J791" s="67"/>
      <c r="K791" s="68"/>
    </row>
    <row r="792" spans="3:11" x14ac:dyDescent="0.2">
      <c r="C792" s="66"/>
      <c r="H792" s="67"/>
      <c r="I792" s="67"/>
      <c r="J792" s="67"/>
      <c r="K792" s="68"/>
    </row>
    <row r="793" spans="3:11" x14ac:dyDescent="0.2">
      <c r="C793" s="66"/>
      <c r="H793" s="67"/>
      <c r="I793" s="67"/>
      <c r="J793" s="67"/>
      <c r="K793" s="68"/>
    </row>
    <row r="794" spans="3:11" x14ac:dyDescent="0.2">
      <c r="C794" s="66"/>
      <c r="H794" s="67"/>
      <c r="I794" s="67"/>
      <c r="J794" s="67"/>
      <c r="K794" s="68"/>
    </row>
    <row r="795" spans="3:11" x14ac:dyDescent="0.2">
      <c r="C795" s="66"/>
      <c r="H795" s="67"/>
      <c r="I795" s="67"/>
      <c r="J795" s="67"/>
      <c r="K795" s="68"/>
    </row>
    <row r="796" spans="3:11" x14ac:dyDescent="0.2">
      <c r="C796" s="66"/>
      <c r="H796" s="67"/>
      <c r="I796" s="67"/>
      <c r="J796" s="67"/>
      <c r="K796" s="68"/>
    </row>
    <row r="797" spans="3:11" x14ac:dyDescent="0.2">
      <c r="C797" s="66"/>
      <c r="H797" s="67"/>
      <c r="I797" s="67"/>
      <c r="J797" s="67"/>
      <c r="K797" s="68"/>
    </row>
    <row r="798" spans="3:11" x14ac:dyDescent="0.2">
      <c r="C798" s="66"/>
      <c r="H798" s="67"/>
      <c r="I798" s="67"/>
      <c r="J798" s="67"/>
      <c r="K798" s="68"/>
    </row>
    <row r="799" spans="3:11" x14ac:dyDescent="0.2">
      <c r="C799" s="66"/>
      <c r="H799" s="67"/>
      <c r="I799" s="67"/>
      <c r="J799" s="67"/>
      <c r="K799" s="68"/>
    </row>
    <row r="800" spans="3:11" x14ac:dyDescent="0.2">
      <c r="C800" s="66"/>
      <c r="H800" s="67"/>
      <c r="I800" s="67"/>
      <c r="J800" s="67"/>
      <c r="K800" s="68"/>
    </row>
    <row r="801" spans="3:11" x14ac:dyDescent="0.2">
      <c r="C801" s="66"/>
      <c r="H801" s="67"/>
      <c r="I801" s="67"/>
      <c r="J801" s="67"/>
      <c r="K801" s="68"/>
    </row>
    <row r="802" spans="3:11" x14ac:dyDescent="0.2">
      <c r="C802" s="66"/>
      <c r="H802" s="67"/>
      <c r="I802" s="67"/>
      <c r="J802" s="67"/>
      <c r="K802" s="68"/>
    </row>
    <row r="803" spans="3:11" x14ac:dyDescent="0.2">
      <c r="C803" s="66"/>
      <c r="H803" s="67"/>
      <c r="I803" s="67"/>
      <c r="J803" s="67"/>
      <c r="K803" s="68"/>
    </row>
    <row r="804" spans="3:11" x14ac:dyDescent="0.2">
      <c r="C804" s="66"/>
      <c r="H804" s="67"/>
      <c r="I804" s="67"/>
      <c r="J804" s="67"/>
      <c r="K804" s="68"/>
    </row>
    <row r="805" spans="3:11" x14ac:dyDescent="0.2">
      <c r="C805" s="66"/>
      <c r="H805" s="67"/>
      <c r="I805" s="67"/>
      <c r="J805" s="67"/>
      <c r="K805" s="68"/>
    </row>
    <row r="806" spans="3:11" x14ac:dyDescent="0.2">
      <c r="C806" s="66"/>
      <c r="H806" s="67"/>
      <c r="I806" s="67"/>
      <c r="J806" s="67"/>
      <c r="K806" s="68"/>
    </row>
    <row r="807" spans="3:11" x14ac:dyDescent="0.2">
      <c r="C807" s="66"/>
      <c r="H807" s="67"/>
      <c r="I807" s="67"/>
      <c r="J807" s="67"/>
      <c r="K807" s="68"/>
    </row>
    <row r="808" spans="3:11" x14ac:dyDescent="0.2">
      <c r="C808" s="66"/>
      <c r="H808" s="67"/>
      <c r="I808" s="67"/>
      <c r="J808" s="67"/>
      <c r="K808" s="68"/>
    </row>
    <row r="809" spans="3:11" x14ac:dyDescent="0.2">
      <c r="C809" s="66"/>
      <c r="H809" s="67"/>
      <c r="I809" s="67"/>
      <c r="J809" s="67"/>
      <c r="K809" s="68"/>
    </row>
    <row r="810" spans="3:11" x14ac:dyDescent="0.2">
      <c r="C810" s="66"/>
      <c r="H810" s="67"/>
      <c r="I810" s="67"/>
      <c r="J810" s="67"/>
      <c r="K810" s="68"/>
    </row>
    <row r="811" spans="3:11" x14ac:dyDescent="0.2">
      <c r="C811" s="66"/>
      <c r="H811" s="67"/>
      <c r="I811" s="67"/>
      <c r="J811" s="67"/>
      <c r="K811" s="68"/>
    </row>
    <row r="812" spans="3:11" x14ac:dyDescent="0.2">
      <c r="C812" s="66"/>
      <c r="H812" s="67"/>
      <c r="I812" s="67"/>
      <c r="J812" s="67"/>
      <c r="K812" s="68"/>
    </row>
    <row r="813" spans="3:11" x14ac:dyDescent="0.2">
      <c r="C813" s="66"/>
      <c r="H813" s="67"/>
      <c r="I813" s="67"/>
      <c r="J813" s="67"/>
      <c r="K813" s="68"/>
    </row>
    <row r="814" spans="3:11" x14ac:dyDescent="0.2">
      <c r="C814" s="66"/>
      <c r="H814" s="67"/>
      <c r="I814" s="67"/>
      <c r="J814" s="67"/>
      <c r="K814" s="68"/>
    </row>
    <row r="815" spans="3:11" x14ac:dyDescent="0.2">
      <c r="C815" s="66"/>
      <c r="H815" s="67"/>
      <c r="I815" s="67"/>
      <c r="J815" s="67"/>
      <c r="K815" s="68"/>
    </row>
    <row r="816" spans="3:11" x14ac:dyDescent="0.2">
      <c r="C816" s="66"/>
      <c r="H816" s="67"/>
      <c r="I816" s="67"/>
      <c r="J816" s="67"/>
      <c r="K816" s="68"/>
    </row>
    <row r="817" spans="3:11" x14ac:dyDescent="0.2">
      <c r="C817" s="66"/>
      <c r="H817" s="67"/>
      <c r="I817" s="67"/>
      <c r="J817" s="67"/>
      <c r="K817" s="68"/>
    </row>
    <row r="818" spans="3:11" x14ac:dyDescent="0.2">
      <c r="C818" s="66"/>
      <c r="H818" s="67"/>
      <c r="I818" s="67"/>
      <c r="J818" s="67"/>
      <c r="K818" s="68"/>
    </row>
    <row r="819" spans="3:11" x14ac:dyDescent="0.2">
      <c r="C819" s="66"/>
      <c r="H819" s="67"/>
      <c r="I819" s="67"/>
      <c r="J819" s="67"/>
      <c r="K819" s="68"/>
    </row>
    <row r="820" spans="3:11" x14ac:dyDescent="0.2">
      <c r="C820" s="66"/>
      <c r="H820" s="67"/>
      <c r="I820" s="67"/>
      <c r="J820" s="67"/>
      <c r="K820" s="68"/>
    </row>
    <row r="821" spans="3:11" x14ac:dyDescent="0.2">
      <c r="C821" s="66"/>
      <c r="H821" s="67"/>
      <c r="I821" s="67"/>
      <c r="J821" s="67"/>
      <c r="K821" s="68"/>
    </row>
    <row r="822" spans="3:11" x14ac:dyDescent="0.2">
      <c r="C822" s="66"/>
      <c r="H822" s="67"/>
      <c r="I822" s="67"/>
      <c r="J822" s="67"/>
      <c r="K822" s="68"/>
    </row>
    <row r="823" spans="3:11" x14ac:dyDescent="0.2">
      <c r="C823" s="66"/>
      <c r="H823" s="67"/>
      <c r="I823" s="67"/>
      <c r="J823" s="67"/>
      <c r="K823" s="68"/>
    </row>
    <row r="824" spans="3:11" x14ac:dyDescent="0.2">
      <c r="C824" s="66"/>
      <c r="H824" s="67"/>
      <c r="I824" s="67"/>
      <c r="J824" s="67"/>
      <c r="K824" s="68"/>
    </row>
    <row r="825" spans="3:11" x14ac:dyDescent="0.2">
      <c r="C825" s="66"/>
      <c r="H825" s="67"/>
      <c r="I825" s="67"/>
      <c r="J825" s="67"/>
      <c r="K825" s="68"/>
    </row>
    <row r="826" spans="3:11" x14ac:dyDescent="0.2">
      <c r="C826" s="66"/>
      <c r="H826" s="67"/>
      <c r="I826" s="67"/>
      <c r="J826" s="67"/>
      <c r="K826" s="68"/>
    </row>
    <row r="827" spans="3:11" x14ac:dyDescent="0.2">
      <c r="C827" s="66"/>
      <c r="H827" s="67"/>
      <c r="I827" s="67"/>
      <c r="J827" s="67"/>
      <c r="K827" s="68"/>
    </row>
    <row r="828" spans="3:11" x14ac:dyDescent="0.2">
      <c r="C828" s="66"/>
      <c r="H828" s="67"/>
      <c r="I828" s="67"/>
      <c r="J828" s="67"/>
      <c r="K828" s="68"/>
    </row>
    <row r="829" spans="3:11" x14ac:dyDescent="0.2">
      <c r="C829" s="66"/>
      <c r="H829" s="67"/>
      <c r="I829" s="67"/>
      <c r="J829" s="67"/>
      <c r="K829" s="68"/>
    </row>
    <row r="830" spans="3:11" x14ac:dyDescent="0.2">
      <c r="C830" s="66"/>
      <c r="H830" s="67"/>
      <c r="I830" s="67"/>
      <c r="J830" s="67"/>
      <c r="K830" s="68"/>
    </row>
    <row r="831" spans="3:11" x14ac:dyDescent="0.2">
      <c r="C831" s="66"/>
      <c r="H831" s="67"/>
      <c r="I831" s="67"/>
      <c r="J831" s="67"/>
      <c r="K831" s="68"/>
    </row>
    <row r="832" spans="3:11" x14ac:dyDescent="0.2">
      <c r="C832" s="66"/>
      <c r="H832" s="67"/>
      <c r="I832" s="67"/>
      <c r="J832" s="67"/>
      <c r="K832" s="68"/>
    </row>
    <row r="833" spans="3:11" x14ac:dyDescent="0.2">
      <c r="C833" s="66"/>
      <c r="H833" s="67"/>
      <c r="I833" s="67"/>
      <c r="J833" s="67"/>
      <c r="K833" s="68"/>
    </row>
    <row r="834" spans="3:11" x14ac:dyDescent="0.2">
      <c r="C834" s="66"/>
      <c r="H834" s="67"/>
      <c r="I834" s="67"/>
      <c r="J834" s="67"/>
      <c r="K834" s="68"/>
    </row>
    <row r="835" spans="3:11" x14ac:dyDescent="0.2">
      <c r="C835" s="66"/>
      <c r="H835" s="67"/>
      <c r="I835" s="67"/>
      <c r="J835" s="67"/>
      <c r="K835" s="68"/>
    </row>
    <row r="836" spans="3:11" x14ac:dyDescent="0.2">
      <c r="C836" s="66"/>
      <c r="H836" s="67"/>
      <c r="I836" s="67"/>
      <c r="J836" s="67"/>
      <c r="K836" s="68"/>
    </row>
    <row r="837" spans="3:11" x14ac:dyDescent="0.2">
      <c r="C837" s="66"/>
      <c r="H837" s="67"/>
      <c r="I837" s="67"/>
      <c r="J837" s="67"/>
      <c r="K837" s="68"/>
    </row>
    <row r="838" spans="3:11" x14ac:dyDescent="0.2">
      <c r="C838" s="66"/>
      <c r="H838" s="67"/>
      <c r="I838" s="67"/>
      <c r="J838" s="67"/>
      <c r="K838" s="68"/>
    </row>
    <row r="839" spans="3:11" x14ac:dyDescent="0.2">
      <c r="C839" s="66"/>
      <c r="H839" s="67"/>
      <c r="I839" s="67"/>
      <c r="J839" s="67"/>
      <c r="K839" s="68"/>
    </row>
    <row r="840" spans="3:11" x14ac:dyDescent="0.2">
      <c r="C840" s="66"/>
      <c r="H840" s="67"/>
      <c r="I840" s="67"/>
      <c r="J840" s="67"/>
      <c r="K840" s="68"/>
    </row>
    <row r="841" spans="3:11" x14ac:dyDescent="0.2">
      <c r="C841" s="66"/>
      <c r="H841" s="67"/>
      <c r="I841" s="67"/>
      <c r="J841" s="67"/>
      <c r="K841" s="68"/>
    </row>
    <row r="842" spans="3:11" x14ac:dyDescent="0.2">
      <c r="C842" s="66"/>
      <c r="H842" s="67"/>
      <c r="I842" s="67"/>
      <c r="J842" s="67"/>
      <c r="K842" s="68"/>
    </row>
    <row r="843" spans="3:11" x14ac:dyDescent="0.2">
      <c r="C843" s="66"/>
      <c r="H843" s="67"/>
      <c r="I843" s="67"/>
      <c r="J843" s="67"/>
      <c r="K843" s="68"/>
    </row>
    <row r="844" spans="3:11" x14ac:dyDescent="0.2">
      <c r="C844" s="66"/>
      <c r="H844" s="67"/>
      <c r="I844" s="67"/>
      <c r="J844" s="67"/>
      <c r="K844" s="68"/>
    </row>
    <row r="845" spans="3:11" x14ac:dyDescent="0.2">
      <c r="C845" s="66"/>
      <c r="H845" s="67"/>
      <c r="I845" s="67"/>
      <c r="J845" s="67"/>
      <c r="K845" s="68"/>
    </row>
    <row r="846" spans="3:11" x14ac:dyDescent="0.2">
      <c r="C846" s="66"/>
      <c r="H846" s="67"/>
      <c r="I846" s="67"/>
      <c r="J846" s="67"/>
      <c r="K846" s="68"/>
    </row>
    <row r="847" spans="3:11" x14ac:dyDescent="0.2">
      <c r="C847" s="66"/>
      <c r="H847" s="67"/>
      <c r="I847" s="67"/>
      <c r="J847" s="67"/>
      <c r="K847" s="68"/>
    </row>
    <row r="848" spans="3:11" x14ac:dyDescent="0.2">
      <c r="C848" s="66"/>
      <c r="H848" s="67"/>
      <c r="I848" s="67"/>
      <c r="J848" s="67"/>
      <c r="K848" s="68"/>
    </row>
    <row r="849" spans="3:11" x14ac:dyDescent="0.2">
      <c r="C849" s="66"/>
      <c r="H849" s="67"/>
      <c r="I849" s="67"/>
      <c r="J849" s="67"/>
      <c r="K849" s="68"/>
    </row>
    <row r="850" spans="3:11" x14ac:dyDescent="0.2">
      <c r="C850" s="66"/>
      <c r="H850" s="67"/>
      <c r="I850" s="67"/>
      <c r="J850" s="67"/>
      <c r="K850" s="68"/>
    </row>
    <row r="851" spans="3:11" x14ac:dyDescent="0.2">
      <c r="C851" s="66"/>
      <c r="H851" s="67"/>
      <c r="I851" s="67"/>
      <c r="J851" s="67"/>
      <c r="K851" s="68"/>
    </row>
    <row r="852" spans="3:11" x14ac:dyDescent="0.2">
      <c r="C852" s="66"/>
      <c r="H852" s="67"/>
      <c r="I852" s="67"/>
      <c r="J852" s="67"/>
      <c r="K852" s="68"/>
    </row>
    <row r="853" spans="3:11" x14ac:dyDescent="0.2">
      <c r="C853" s="66"/>
      <c r="H853" s="67"/>
      <c r="I853" s="67"/>
      <c r="J853" s="67"/>
      <c r="K853" s="68"/>
    </row>
    <row r="854" spans="3:11" x14ac:dyDescent="0.2">
      <c r="C854" s="66"/>
      <c r="H854" s="67"/>
      <c r="I854" s="67"/>
      <c r="J854" s="67"/>
      <c r="K854" s="68"/>
    </row>
    <row r="855" spans="3:11" x14ac:dyDescent="0.2">
      <c r="C855" s="66"/>
      <c r="H855" s="67"/>
      <c r="I855" s="67"/>
      <c r="J855" s="67"/>
      <c r="K855" s="68"/>
    </row>
    <row r="856" spans="3:11" x14ac:dyDescent="0.2">
      <c r="C856" s="66"/>
      <c r="H856" s="67"/>
      <c r="I856" s="67"/>
      <c r="J856" s="67"/>
      <c r="K856" s="68"/>
    </row>
    <row r="857" spans="3:11" x14ac:dyDescent="0.2">
      <c r="C857" s="66"/>
      <c r="H857" s="67"/>
      <c r="I857" s="67"/>
      <c r="J857" s="67"/>
      <c r="K857" s="68"/>
    </row>
    <row r="858" spans="3:11" x14ac:dyDescent="0.2">
      <c r="C858" s="66"/>
      <c r="H858" s="67"/>
      <c r="I858" s="67"/>
      <c r="J858" s="67"/>
      <c r="K858" s="68"/>
    </row>
    <row r="859" spans="3:11" x14ac:dyDescent="0.2">
      <c r="C859" s="66"/>
      <c r="H859" s="67"/>
      <c r="I859" s="67"/>
      <c r="J859" s="67"/>
      <c r="K859" s="68"/>
    </row>
    <row r="860" spans="3:11" x14ac:dyDescent="0.2">
      <c r="C860" s="66"/>
      <c r="H860" s="67"/>
      <c r="I860" s="67"/>
      <c r="J860" s="67"/>
      <c r="K860" s="68"/>
    </row>
    <row r="861" spans="3:11" x14ac:dyDescent="0.2">
      <c r="C861" s="66"/>
      <c r="H861" s="67"/>
      <c r="I861" s="67"/>
      <c r="J861" s="67"/>
      <c r="K861" s="68"/>
    </row>
    <row r="862" spans="3:11" x14ac:dyDescent="0.2">
      <c r="C862" s="66"/>
      <c r="H862" s="67"/>
      <c r="I862" s="67"/>
      <c r="J862" s="67"/>
      <c r="K862" s="68"/>
    </row>
    <row r="863" spans="3:11" x14ac:dyDescent="0.2">
      <c r="C863" s="66"/>
      <c r="H863" s="67"/>
      <c r="I863" s="67"/>
      <c r="J863" s="67"/>
      <c r="K863" s="68"/>
    </row>
    <row r="864" spans="3:11" x14ac:dyDescent="0.2">
      <c r="C864" s="66"/>
      <c r="H864" s="67"/>
      <c r="I864" s="67"/>
      <c r="J864" s="67"/>
      <c r="K864" s="68"/>
    </row>
    <row r="865" spans="3:11" x14ac:dyDescent="0.2">
      <c r="C865" s="66"/>
      <c r="H865" s="67"/>
      <c r="I865" s="67"/>
      <c r="J865" s="67"/>
      <c r="K865" s="68"/>
    </row>
    <row r="866" spans="3:11" x14ac:dyDescent="0.2">
      <c r="C866" s="66"/>
      <c r="H866" s="67"/>
      <c r="I866" s="67"/>
      <c r="J866" s="67"/>
      <c r="K866" s="68"/>
    </row>
    <row r="867" spans="3:11" x14ac:dyDescent="0.2">
      <c r="C867" s="66"/>
      <c r="H867" s="67"/>
      <c r="I867" s="67"/>
      <c r="J867" s="67"/>
      <c r="K867" s="68"/>
    </row>
    <row r="868" spans="3:11" x14ac:dyDescent="0.2">
      <c r="C868" s="66"/>
      <c r="H868" s="67"/>
      <c r="I868" s="67"/>
      <c r="J868" s="67"/>
      <c r="K868" s="68"/>
    </row>
    <row r="869" spans="3:11" x14ac:dyDescent="0.2">
      <c r="C869" s="66"/>
      <c r="H869" s="67"/>
      <c r="I869" s="67"/>
      <c r="J869" s="67"/>
      <c r="K869" s="68"/>
    </row>
    <row r="870" spans="3:11" x14ac:dyDescent="0.2">
      <c r="C870" s="66"/>
      <c r="H870" s="67"/>
      <c r="I870" s="67"/>
      <c r="J870" s="67"/>
      <c r="K870" s="68"/>
    </row>
    <row r="871" spans="3:11" x14ac:dyDescent="0.2">
      <c r="C871" s="66"/>
      <c r="H871" s="67"/>
      <c r="I871" s="67"/>
      <c r="J871" s="67"/>
      <c r="K871" s="68"/>
    </row>
    <row r="872" spans="3:11" x14ac:dyDescent="0.2">
      <c r="C872" s="66"/>
      <c r="H872" s="67"/>
      <c r="I872" s="67"/>
      <c r="J872" s="67"/>
      <c r="K872" s="68"/>
    </row>
    <row r="873" spans="3:11" x14ac:dyDescent="0.2">
      <c r="C873" s="66"/>
      <c r="H873" s="67"/>
      <c r="I873" s="67"/>
      <c r="J873" s="67"/>
      <c r="K873" s="68"/>
    </row>
    <row r="874" spans="3:11" x14ac:dyDescent="0.2">
      <c r="C874" s="66"/>
      <c r="H874" s="67"/>
      <c r="I874" s="67"/>
      <c r="J874" s="67"/>
      <c r="K874" s="68"/>
    </row>
    <row r="875" spans="3:11" x14ac:dyDescent="0.2">
      <c r="C875" s="66"/>
      <c r="H875" s="67"/>
      <c r="I875" s="67"/>
      <c r="J875" s="67"/>
      <c r="K875" s="68"/>
    </row>
    <row r="876" spans="3:11" x14ac:dyDescent="0.2">
      <c r="C876" s="66"/>
      <c r="H876" s="67"/>
      <c r="I876" s="67"/>
      <c r="J876" s="67"/>
      <c r="K876" s="68"/>
    </row>
    <row r="877" spans="3:11" x14ac:dyDescent="0.2">
      <c r="C877" s="66"/>
      <c r="H877" s="67"/>
      <c r="I877" s="67"/>
      <c r="J877" s="67"/>
      <c r="K877" s="68"/>
    </row>
    <row r="878" spans="3:11" x14ac:dyDescent="0.2">
      <c r="C878" s="66"/>
      <c r="H878" s="67"/>
      <c r="I878" s="67"/>
      <c r="J878" s="67"/>
      <c r="K878" s="68"/>
    </row>
    <row r="879" spans="3:11" x14ac:dyDescent="0.2">
      <c r="C879" s="66"/>
      <c r="H879" s="67"/>
      <c r="I879" s="67"/>
      <c r="J879" s="67"/>
      <c r="K879" s="68"/>
    </row>
    <row r="880" spans="3:11" x14ac:dyDescent="0.2">
      <c r="C880" s="66"/>
      <c r="H880" s="67"/>
      <c r="I880" s="67"/>
      <c r="J880" s="67"/>
      <c r="K880" s="68"/>
    </row>
    <row r="881" spans="3:11" x14ac:dyDescent="0.2">
      <c r="C881" s="66"/>
      <c r="H881" s="67"/>
      <c r="I881" s="67"/>
      <c r="J881" s="67"/>
      <c r="K881" s="68"/>
    </row>
    <row r="882" spans="3:11" x14ac:dyDescent="0.2">
      <c r="C882" s="66"/>
      <c r="H882" s="67"/>
      <c r="I882" s="67"/>
      <c r="J882" s="67"/>
      <c r="K882" s="68"/>
    </row>
    <row r="883" spans="3:11" x14ac:dyDescent="0.2">
      <c r="C883" s="66"/>
      <c r="H883" s="67"/>
      <c r="I883" s="67"/>
      <c r="J883" s="67"/>
      <c r="K883" s="68"/>
    </row>
    <row r="884" spans="3:11" x14ac:dyDescent="0.2">
      <c r="C884" s="66"/>
      <c r="H884" s="67"/>
      <c r="I884" s="67"/>
      <c r="J884" s="67"/>
      <c r="K884" s="68"/>
    </row>
    <row r="885" spans="3:11" x14ac:dyDescent="0.2">
      <c r="C885" s="66"/>
      <c r="H885" s="67"/>
      <c r="I885" s="67"/>
      <c r="J885" s="67"/>
      <c r="K885" s="68"/>
    </row>
    <row r="886" spans="3:11" x14ac:dyDescent="0.2">
      <c r="C886" s="66"/>
      <c r="H886" s="67"/>
      <c r="I886" s="67"/>
      <c r="J886" s="67"/>
      <c r="K886" s="68"/>
    </row>
    <row r="887" spans="3:11" x14ac:dyDescent="0.2">
      <c r="C887" s="66"/>
      <c r="H887" s="67"/>
      <c r="I887" s="67"/>
      <c r="J887" s="67"/>
      <c r="K887" s="68"/>
    </row>
    <row r="888" spans="3:11" x14ac:dyDescent="0.2">
      <c r="C888" s="66"/>
      <c r="H888" s="67"/>
      <c r="I888" s="67"/>
      <c r="J888" s="67"/>
      <c r="K888" s="68"/>
    </row>
    <row r="889" spans="3:11" x14ac:dyDescent="0.2">
      <c r="C889" s="66"/>
      <c r="H889" s="67"/>
      <c r="I889" s="67"/>
      <c r="J889" s="67"/>
      <c r="K889" s="68"/>
    </row>
    <row r="890" spans="3:11" x14ac:dyDescent="0.2">
      <c r="C890" s="66"/>
      <c r="H890" s="67"/>
      <c r="I890" s="67"/>
      <c r="J890" s="67"/>
      <c r="K890" s="68"/>
    </row>
    <row r="891" spans="3:11" x14ac:dyDescent="0.2">
      <c r="C891" s="66"/>
      <c r="H891" s="67"/>
      <c r="I891" s="67"/>
      <c r="J891" s="67"/>
      <c r="K891" s="68"/>
    </row>
    <row r="892" spans="3:11" x14ac:dyDescent="0.2">
      <c r="C892" s="66"/>
      <c r="H892" s="67"/>
      <c r="I892" s="67"/>
      <c r="J892" s="67"/>
      <c r="K892" s="68"/>
    </row>
    <row r="893" spans="3:11" x14ac:dyDescent="0.2">
      <c r="C893" s="66"/>
      <c r="H893" s="67"/>
      <c r="I893" s="67"/>
      <c r="J893" s="67"/>
      <c r="K893" s="68"/>
    </row>
    <row r="894" spans="3:11" x14ac:dyDescent="0.2">
      <c r="C894" s="66"/>
      <c r="H894" s="67"/>
      <c r="I894" s="67"/>
      <c r="J894" s="67"/>
      <c r="K894" s="68"/>
    </row>
    <row r="895" spans="3:11" x14ac:dyDescent="0.2">
      <c r="C895" s="66"/>
      <c r="H895" s="67"/>
      <c r="I895" s="67"/>
      <c r="J895" s="67"/>
      <c r="K895" s="68"/>
    </row>
    <row r="896" spans="3:11" x14ac:dyDescent="0.2">
      <c r="C896" s="66"/>
      <c r="H896" s="67"/>
      <c r="I896" s="67"/>
      <c r="J896" s="67"/>
      <c r="K896" s="68"/>
    </row>
    <row r="897" spans="3:11" x14ac:dyDescent="0.2">
      <c r="C897" s="66"/>
      <c r="H897" s="67"/>
      <c r="I897" s="67"/>
      <c r="J897" s="67"/>
      <c r="K897" s="68"/>
    </row>
    <row r="898" spans="3:11" x14ac:dyDescent="0.2">
      <c r="C898" s="66"/>
      <c r="H898" s="67"/>
      <c r="I898" s="67"/>
      <c r="J898" s="67"/>
      <c r="K898" s="68"/>
    </row>
    <row r="899" spans="3:11" x14ac:dyDescent="0.2">
      <c r="C899" s="66"/>
      <c r="H899" s="67"/>
      <c r="I899" s="67"/>
      <c r="J899" s="67"/>
      <c r="K899" s="68"/>
    </row>
    <row r="900" spans="3:11" x14ac:dyDescent="0.2">
      <c r="C900" s="66"/>
      <c r="H900" s="67"/>
      <c r="I900" s="67"/>
      <c r="J900" s="67"/>
      <c r="K900" s="68"/>
    </row>
    <row r="901" spans="3:11" x14ac:dyDescent="0.2">
      <c r="C901" s="66"/>
      <c r="H901" s="67"/>
      <c r="I901" s="67"/>
      <c r="J901" s="67"/>
      <c r="K901" s="68"/>
    </row>
    <row r="902" spans="3:11" x14ac:dyDescent="0.2">
      <c r="C902" s="66"/>
      <c r="H902" s="67"/>
      <c r="I902" s="67"/>
      <c r="J902" s="67"/>
      <c r="K902" s="68"/>
    </row>
    <row r="903" spans="3:11" x14ac:dyDescent="0.2">
      <c r="C903" s="66"/>
      <c r="H903" s="67"/>
      <c r="I903" s="67"/>
      <c r="J903" s="67"/>
      <c r="K903" s="68"/>
    </row>
    <row r="904" spans="3:11" x14ac:dyDescent="0.2">
      <c r="C904" s="66"/>
      <c r="H904" s="67"/>
      <c r="I904" s="67"/>
      <c r="J904" s="67"/>
      <c r="K904" s="68"/>
    </row>
    <row r="905" spans="3:11" x14ac:dyDescent="0.2">
      <c r="C905" s="66"/>
      <c r="H905" s="67"/>
      <c r="I905" s="67"/>
      <c r="J905" s="67"/>
      <c r="K905" s="68"/>
    </row>
    <row r="906" spans="3:11" x14ac:dyDescent="0.2">
      <c r="C906" s="66"/>
      <c r="H906" s="67"/>
      <c r="I906" s="67"/>
      <c r="J906" s="67"/>
      <c r="K906" s="68"/>
    </row>
    <row r="907" spans="3:11" x14ac:dyDescent="0.2">
      <c r="C907" s="66"/>
      <c r="H907" s="67"/>
      <c r="I907" s="67"/>
      <c r="J907" s="67"/>
      <c r="K907" s="68"/>
    </row>
    <row r="908" spans="3:11" x14ac:dyDescent="0.2">
      <c r="C908" s="66"/>
      <c r="H908" s="67"/>
      <c r="I908" s="67"/>
      <c r="J908" s="67"/>
      <c r="K908" s="68"/>
    </row>
    <row r="909" spans="3:11" x14ac:dyDescent="0.2">
      <c r="C909" s="66"/>
      <c r="H909" s="67"/>
      <c r="I909" s="67"/>
      <c r="J909" s="67"/>
      <c r="K909" s="68"/>
    </row>
    <row r="910" spans="3:11" x14ac:dyDescent="0.2">
      <c r="C910" s="66"/>
      <c r="H910" s="67"/>
      <c r="I910" s="67"/>
      <c r="J910" s="67"/>
      <c r="K910" s="68"/>
    </row>
    <row r="911" spans="3:11" x14ac:dyDescent="0.2">
      <c r="C911" s="66"/>
      <c r="H911" s="67"/>
      <c r="I911" s="67"/>
      <c r="J911" s="67"/>
      <c r="K911" s="68"/>
    </row>
    <row r="912" spans="3:11" x14ac:dyDescent="0.2">
      <c r="C912" s="66"/>
      <c r="H912" s="67"/>
      <c r="I912" s="67"/>
      <c r="J912" s="67"/>
      <c r="K912" s="68"/>
    </row>
    <row r="913" spans="3:11" x14ac:dyDescent="0.2">
      <c r="C913" s="66"/>
      <c r="H913" s="67"/>
      <c r="I913" s="67"/>
      <c r="J913" s="67"/>
      <c r="K913" s="68"/>
    </row>
    <row r="914" spans="3:11" x14ac:dyDescent="0.2">
      <c r="C914" s="66"/>
      <c r="H914" s="67"/>
      <c r="I914" s="67"/>
      <c r="J914" s="67"/>
      <c r="K914" s="68"/>
    </row>
    <row r="915" spans="3:11" x14ac:dyDescent="0.2">
      <c r="C915" s="66"/>
      <c r="H915" s="67"/>
      <c r="I915" s="67"/>
      <c r="J915" s="67"/>
      <c r="K915" s="68"/>
    </row>
    <row r="916" spans="3:11" x14ac:dyDescent="0.2">
      <c r="C916" s="66"/>
      <c r="H916" s="67"/>
      <c r="I916" s="67"/>
      <c r="J916" s="67"/>
      <c r="K916" s="68"/>
    </row>
    <row r="917" spans="3:11" x14ac:dyDescent="0.2">
      <c r="C917" s="66"/>
      <c r="H917" s="67"/>
      <c r="I917" s="67"/>
      <c r="J917" s="67"/>
      <c r="K917" s="68"/>
    </row>
    <row r="918" spans="3:11" x14ac:dyDescent="0.2">
      <c r="C918" s="66"/>
      <c r="H918" s="67"/>
      <c r="I918" s="67"/>
      <c r="J918" s="67"/>
      <c r="K918" s="68"/>
    </row>
    <row r="919" spans="3:11" x14ac:dyDescent="0.2">
      <c r="C919" s="66"/>
      <c r="H919" s="67"/>
      <c r="I919" s="67"/>
      <c r="J919" s="67"/>
      <c r="K919" s="68"/>
    </row>
    <row r="920" spans="3:11" x14ac:dyDescent="0.2">
      <c r="C920" s="66"/>
      <c r="H920" s="67"/>
      <c r="I920" s="67"/>
      <c r="J920" s="67"/>
      <c r="K920" s="68"/>
    </row>
    <row r="921" spans="3:11" x14ac:dyDescent="0.2">
      <c r="C921" s="66"/>
      <c r="H921" s="67"/>
      <c r="I921" s="67"/>
      <c r="J921" s="67"/>
      <c r="K921" s="68"/>
    </row>
    <row r="922" spans="3:11" x14ac:dyDescent="0.2">
      <c r="C922" s="66"/>
      <c r="H922" s="67"/>
      <c r="I922" s="67"/>
      <c r="J922" s="67"/>
      <c r="K922" s="68"/>
    </row>
    <row r="923" spans="3:11" x14ac:dyDescent="0.2">
      <c r="C923" s="66"/>
      <c r="H923" s="67"/>
      <c r="I923" s="67"/>
      <c r="J923" s="67"/>
      <c r="K923" s="68"/>
    </row>
    <row r="924" spans="3:11" x14ac:dyDescent="0.2">
      <c r="C924" s="66"/>
      <c r="H924" s="67"/>
      <c r="I924" s="67"/>
      <c r="J924" s="67"/>
      <c r="K924" s="68"/>
    </row>
    <row r="925" spans="3:11" x14ac:dyDescent="0.2">
      <c r="C925" s="66"/>
      <c r="H925" s="67"/>
      <c r="I925" s="67"/>
      <c r="J925" s="67"/>
      <c r="K925" s="68"/>
    </row>
    <row r="926" spans="3:11" x14ac:dyDescent="0.2">
      <c r="C926" s="66"/>
      <c r="H926" s="67"/>
      <c r="I926" s="67"/>
      <c r="J926" s="67"/>
      <c r="K926" s="68"/>
    </row>
    <row r="927" spans="3:11" x14ac:dyDescent="0.2">
      <c r="C927" s="66"/>
      <c r="H927" s="67"/>
      <c r="I927" s="67"/>
      <c r="J927" s="67"/>
      <c r="K927" s="68"/>
    </row>
    <row r="928" spans="3:11" x14ac:dyDescent="0.2">
      <c r="C928" s="66"/>
      <c r="H928" s="67"/>
      <c r="I928" s="67"/>
      <c r="J928" s="67"/>
      <c r="K928" s="68"/>
    </row>
    <row r="929" spans="3:11" x14ac:dyDescent="0.2">
      <c r="C929" s="66"/>
      <c r="H929" s="67"/>
      <c r="I929" s="67"/>
      <c r="J929" s="67"/>
      <c r="K929" s="68"/>
    </row>
    <row r="930" spans="3:11" x14ac:dyDescent="0.2">
      <c r="C930" s="66"/>
      <c r="H930" s="67"/>
      <c r="I930" s="67"/>
      <c r="J930" s="67"/>
      <c r="K930" s="68"/>
    </row>
    <row r="931" spans="3:11" x14ac:dyDescent="0.2">
      <c r="C931" s="66"/>
      <c r="H931" s="67"/>
      <c r="I931" s="67"/>
      <c r="J931" s="67"/>
      <c r="K931" s="68"/>
    </row>
    <row r="932" spans="3:11" x14ac:dyDescent="0.2">
      <c r="C932" s="66"/>
      <c r="H932" s="67"/>
      <c r="I932" s="67"/>
      <c r="J932" s="67"/>
      <c r="K932" s="68"/>
    </row>
    <row r="933" spans="3:11" x14ac:dyDescent="0.2">
      <c r="C933" s="66"/>
      <c r="H933" s="67"/>
      <c r="I933" s="67"/>
      <c r="J933" s="67"/>
      <c r="K933" s="68"/>
    </row>
    <row r="934" spans="3:11" x14ac:dyDescent="0.2">
      <c r="C934" s="66"/>
      <c r="H934" s="67"/>
      <c r="I934" s="67"/>
      <c r="J934" s="67"/>
      <c r="K934" s="68"/>
    </row>
    <row r="935" spans="3:11" x14ac:dyDescent="0.2">
      <c r="C935" s="66"/>
      <c r="H935" s="67"/>
      <c r="I935" s="67"/>
      <c r="J935" s="67"/>
      <c r="K935" s="68"/>
    </row>
    <row r="936" spans="3:11" x14ac:dyDescent="0.2">
      <c r="C936" s="66"/>
      <c r="H936" s="67"/>
      <c r="I936" s="67"/>
      <c r="J936" s="67"/>
      <c r="K936" s="68"/>
    </row>
    <row r="937" spans="3:11" x14ac:dyDescent="0.2">
      <c r="C937" s="66"/>
      <c r="H937" s="67"/>
      <c r="I937" s="67"/>
      <c r="J937" s="67"/>
      <c r="K937" s="68"/>
    </row>
    <row r="938" spans="3:11" x14ac:dyDescent="0.2">
      <c r="C938" s="66"/>
      <c r="H938" s="67"/>
      <c r="I938" s="67"/>
      <c r="J938" s="67"/>
      <c r="K938" s="68"/>
    </row>
    <row r="939" spans="3:11" x14ac:dyDescent="0.2">
      <c r="C939" s="66"/>
      <c r="H939" s="67"/>
      <c r="I939" s="67"/>
      <c r="J939" s="67"/>
      <c r="K939" s="68"/>
    </row>
    <row r="940" spans="3:11" x14ac:dyDescent="0.2">
      <c r="C940" s="66"/>
      <c r="H940" s="67"/>
      <c r="I940" s="67"/>
      <c r="J940" s="67"/>
      <c r="K940" s="68"/>
    </row>
    <row r="941" spans="3:11" x14ac:dyDescent="0.2">
      <c r="C941" s="66"/>
      <c r="H941" s="67"/>
      <c r="I941" s="67"/>
      <c r="J941" s="67"/>
      <c r="K941" s="68"/>
    </row>
    <row r="942" spans="3:11" x14ac:dyDescent="0.2">
      <c r="C942" s="66"/>
      <c r="H942" s="67"/>
      <c r="I942" s="67"/>
      <c r="J942" s="67"/>
      <c r="K942" s="68"/>
    </row>
    <row r="943" spans="3:11" x14ac:dyDescent="0.2">
      <c r="C943" s="66"/>
      <c r="H943" s="67"/>
      <c r="I943" s="67"/>
      <c r="J943" s="67"/>
      <c r="K943" s="68"/>
    </row>
    <row r="944" spans="3:11" x14ac:dyDescent="0.2">
      <c r="C944" s="66"/>
      <c r="H944" s="67"/>
      <c r="I944" s="67"/>
      <c r="J944" s="67"/>
      <c r="K944" s="68"/>
    </row>
    <row r="945" spans="3:11" x14ac:dyDescent="0.2">
      <c r="C945" s="66"/>
      <c r="H945" s="67"/>
      <c r="I945" s="67"/>
      <c r="J945" s="67"/>
      <c r="K945" s="68"/>
    </row>
    <row r="946" spans="3:11" x14ac:dyDescent="0.2">
      <c r="C946" s="66"/>
      <c r="H946" s="67"/>
      <c r="I946" s="67"/>
      <c r="J946" s="67"/>
      <c r="K946" s="68"/>
    </row>
    <row r="947" spans="3:11" x14ac:dyDescent="0.2">
      <c r="C947" s="66"/>
      <c r="H947" s="67"/>
      <c r="I947" s="67"/>
      <c r="J947" s="67"/>
      <c r="K947" s="68"/>
    </row>
    <row r="948" spans="3:11" x14ac:dyDescent="0.2">
      <c r="C948" s="66"/>
      <c r="H948" s="67"/>
      <c r="I948" s="67"/>
      <c r="J948" s="67"/>
      <c r="K948" s="68"/>
    </row>
    <row r="949" spans="3:11" x14ac:dyDescent="0.2">
      <c r="C949" s="66"/>
      <c r="H949" s="67"/>
      <c r="I949" s="67"/>
      <c r="J949" s="67"/>
      <c r="K949" s="68"/>
    </row>
    <row r="950" spans="3:11" x14ac:dyDescent="0.2">
      <c r="C950" s="66"/>
      <c r="H950" s="67"/>
      <c r="I950" s="67"/>
      <c r="J950" s="67"/>
      <c r="K950" s="68"/>
    </row>
    <row r="951" spans="3:11" x14ac:dyDescent="0.2">
      <c r="C951" s="66"/>
      <c r="H951" s="67"/>
      <c r="I951" s="67"/>
      <c r="J951" s="67"/>
      <c r="K951" s="68"/>
    </row>
    <row r="952" spans="3:11" x14ac:dyDescent="0.2">
      <c r="C952" s="66"/>
      <c r="H952" s="67"/>
      <c r="I952" s="67"/>
      <c r="J952" s="67"/>
      <c r="K952" s="68"/>
    </row>
    <row r="953" spans="3:11" x14ac:dyDescent="0.2">
      <c r="C953" s="66"/>
      <c r="H953" s="67"/>
      <c r="I953" s="67"/>
      <c r="J953" s="67"/>
      <c r="K953" s="68"/>
    </row>
    <row r="954" spans="3:11" x14ac:dyDescent="0.2">
      <c r="C954" s="66"/>
      <c r="H954" s="67"/>
      <c r="I954" s="67"/>
      <c r="J954" s="67"/>
      <c r="K954" s="68"/>
    </row>
    <row r="955" spans="3:11" x14ac:dyDescent="0.2">
      <c r="C955" s="66"/>
      <c r="H955" s="67"/>
      <c r="I955" s="67"/>
      <c r="J955" s="67"/>
      <c r="K955" s="68"/>
    </row>
    <row r="956" spans="3:11" x14ac:dyDescent="0.2">
      <c r="C956" s="66"/>
      <c r="H956" s="67"/>
      <c r="I956" s="67"/>
      <c r="J956" s="67"/>
      <c r="K956" s="68"/>
    </row>
    <row r="957" spans="3:11" x14ac:dyDescent="0.2">
      <c r="C957" s="66"/>
      <c r="H957" s="67"/>
      <c r="I957" s="67"/>
      <c r="J957" s="67"/>
      <c r="K957" s="68"/>
    </row>
    <row r="958" spans="3:11" x14ac:dyDescent="0.2">
      <c r="C958" s="66"/>
      <c r="H958" s="67"/>
      <c r="I958" s="67"/>
      <c r="J958" s="67"/>
      <c r="K958" s="68"/>
    </row>
    <row r="959" spans="3:11" x14ac:dyDescent="0.2">
      <c r="C959" s="66"/>
      <c r="H959" s="67"/>
      <c r="I959" s="67"/>
      <c r="J959" s="67"/>
      <c r="K959" s="68"/>
    </row>
    <row r="960" spans="3:11" x14ac:dyDescent="0.2">
      <c r="C960" s="66"/>
      <c r="H960" s="67"/>
      <c r="I960" s="67"/>
      <c r="J960" s="67"/>
      <c r="K960" s="68"/>
    </row>
    <row r="961" spans="3:11" x14ac:dyDescent="0.2">
      <c r="C961" s="66"/>
      <c r="H961" s="67"/>
      <c r="I961" s="67"/>
      <c r="J961" s="67"/>
      <c r="K961" s="68"/>
    </row>
    <row r="962" spans="3:11" x14ac:dyDescent="0.2">
      <c r="C962" s="66"/>
      <c r="H962" s="67"/>
      <c r="I962" s="67"/>
      <c r="J962" s="67"/>
      <c r="K962" s="68"/>
    </row>
    <row r="963" spans="3:11" x14ac:dyDescent="0.2">
      <c r="C963" s="66"/>
      <c r="H963" s="67"/>
      <c r="I963" s="67"/>
      <c r="J963" s="67"/>
      <c r="K963" s="68"/>
    </row>
    <row r="964" spans="3:11" x14ac:dyDescent="0.2">
      <c r="C964" s="66"/>
      <c r="H964" s="67"/>
      <c r="I964" s="67"/>
      <c r="J964" s="67"/>
      <c r="K964" s="68"/>
    </row>
    <row r="965" spans="3:11" x14ac:dyDescent="0.2">
      <c r="C965" s="66"/>
      <c r="H965" s="67"/>
      <c r="I965" s="67"/>
      <c r="J965" s="67"/>
      <c r="K965" s="68"/>
    </row>
    <row r="966" spans="3:11" x14ac:dyDescent="0.2">
      <c r="C966" s="66"/>
      <c r="H966" s="67"/>
      <c r="I966" s="67"/>
      <c r="J966" s="67"/>
      <c r="K966" s="68"/>
    </row>
    <row r="967" spans="3:11" x14ac:dyDescent="0.2">
      <c r="C967" s="66"/>
      <c r="H967" s="67"/>
      <c r="I967" s="67"/>
      <c r="J967" s="67"/>
      <c r="K967" s="68"/>
    </row>
    <row r="968" spans="3:11" x14ac:dyDescent="0.2">
      <c r="C968" s="66"/>
      <c r="H968" s="67"/>
      <c r="I968" s="67"/>
      <c r="J968" s="67"/>
      <c r="K968" s="68"/>
    </row>
    <row r="969" spans="3:11" x14ac:dyDescent="0.2">
      <c r="C969" s="66"/>
      <c r="H969" s="67"/>
      <c r="I969" s="67"/>
      <c r="J969" s="67"/>
      <c r="K969" s="68"/>
    </row>
    <row r="970" spans="3:11" x14ac:dyDescent="0.2">
      <c r="C970" s="66"/>
      <c r="H970" s="67"/>
      <c r="I970" s="67"/>
      <c r="J970" s="67"/>
      <c r="K970" s="68"/>
    </row>
    <row r="971" spans="3:11" x14ac:dyDescent="0.2">
      <c r="C971" s="66"/>
      <c r="H971" s="67"/>
      <c r="I971" s="67"/>
      <c r="J971" s="67"/>
      <c r="K971" s="68"/>
    </row>
    <row r="972" spans="3:11" x14ac:dyDescent="0.2">
      <c r="C972" s="66"/>
      <c r="H972" s="67"/>
      <c r="I972" s="67"/>
      <c r="J972" s="67"/>
      <c r="K972" s="68"/>
    </row>
    <row r="973" spans="3:11" x14ac:dyDescent="0.2">
      <c r="C973" s="66"/>
      <c r="H973" s="67"/>
      <c r="I973" s="67"/>
      <c r="J973" s="67"/>
      <c r="K973" s="68"/>
    </row>
    <row r="974" spans="3:11" x14ac:dyDescent="0.2">
      <c r="C974" s="66"/>
      <c r="H974" s="67"/>
      <c r="I974" s="67"/>
      <c r="J974" s="67"/>
      <c r="K974" s="68"/>
    </row>
    <row r="975" spans="3:11" x14ac:dyDescent="0.2">
      <c r="C975" s="66"/>
      <c r="H975" s="67"/>
      <c r="I975" s="67"/>
      <c r="J975" s="67"/>
      <c r="K975" s="68"/>
    </row>
    <row r="976" spans="3:11" x14ac:dyDescent="0.2">
      <c r="C976" s="66"/>
      <c r="H976" s="67"/>
      <c r="I976" s="67"/>
      <c r="J976" s="67"/>
      <c r="K976" s="68"/>
    </row>
    <row r="977" spans="3:11" x14ac:dyDescent="0.2">
      <c r="C977" s="66"/>
      <c r="H977" s="67"/>
      <c r="I977" s="67"/>
      <c r="J977" s="67"/>
      <c r="K977" s="68"/>
    </row>
    <row r="978" spans="3:11" x14ac:dyDescent="0.2">
      <c r="C978" s="66"/>
      <c r="H978" s="67"/>
      <c r="I978" s="67"/>
      <c r="J978" s="67"/>
      <c r="K978" s="68"/>
    </row>
    <row r="979" spans="3:11" x14ac:dyDescent="0.2">
      <c r="C979" s="66"/>
      <c r="H979" s="67"/>
      <c r="I979" s="67"/>
      <c r="J979" s="67"/>
      <c r="K979" s="68"/>
    </row>
    <row r="980" spans="3:11" x14ac:dyDescent="0.2">
      <c r="C980" s="66"/>
      <c r="H980" s="67"/>
      <c r="I980" s="67"/>
      <c r="J980" s="67"/>
      <c r="K980" s="68"/>
    </row>
    <row r="981" spans="3:11" x14ac:dyDescent="0.2">
      <c r="C981" s="66"/>
      <c r="H981" s="67"/>
      <c r="I981" s="67"/>
      <c r="J981" s="67"/>
      <c r="K981" s="68"/>
    </row>
    <row r="982" spans="3:11" x14ac:dyDescent="0.2">
      <c r="C982" s="66"/>
      <c r="H982" s="67"/>
      <c r="I982" s="67"/>
      <c r="J982" s="67"/>
      <c r="K982" s="68"/>
    </row>
    <row r="983" spans="3:11" x14ac:dyDescent="0.2">
      <c r="C983" s="66"/>
      <c r="H983" s="67"/>
      <c r="I983" s="67"/>
      <c r="J983" s="67"/>
      <c r="K983" s="68"/>
    </row>
    <row r="984" spans="3:11" x14ac:dyDescent="0.2">
      <c r="C984" s="66"/>
      <c r="H984" s="67"/>
      <c r="I984" s="67"/>
      <c r="J984" s="67"/>
      <c r="K984" s="68"/>
    </row>
    <row r="985" spans="3:11" x14ac:dyDescent="0.2">
      <c r="C985" s="66"/>
      <c r="H985" s="67"/>
      <c r="I985" s="67"/>
      <c r="J985" s="67"/>
      <c r="K985" s="68"/>
    </row>
    <row r="986" spans="3:11" x14ac:dyDescent="0.2">
      <c r="C986" s="66"/>
      <c r="H986" s="67"/>
      <c r="I986" s="67"/>
      <c r="J986" s="67"/>
      <c r="K986" s="68"/>
    </row>
    <row r="987" spans="3:11" x14ac:dyDescent="0.2">
      <c r="C987" s="66"/>
      <c r="H987" s="67"/>
      <c r="I987" s="67"/>
      <c r="J987" s="67"/>
      <c r="K987" s="68"/>
    </row>
    <row r="988" spans="3:11" x14ac:dyDescent="0.2">
      <c r="C988" s="66"/>
      <c r="H988" s="67"/>
      <c r="I988" s="67"/>
      <c r="J988" s="67"/>
      <c r="K988" s="68"/>
    </row>
    <row r="989" spans="3:11" x14ac:dyDescent="0.2">
      <c r="C989" s="66"/>
      <c r="H989" s="67"/>
      <c r="I989" s="67"/>
      <c r="J989" s="67"/>
      <c r="K989" s="68"/>
    </row>
    <row r="990" spans="3:11" x14ac:dyDescent="0.2">
      <c r="C990" s="66"/>
      <c r="H990" s="67"/>
      <c r="I990" s="67"/>
      <c r="J990" s="67"/>
      <c r="K990" s="68"/>
    </row>
    <row r="991" spans="3:11" x14ac:dyDescent="0.2">
      <c r="C991" s="66"/>
      <c r="H991" s="67"/>
      <c r="I991" s="67"/>
      <c r="J991" s="67"/>
      <c r="K991" s="68"/>
    </row>
    <row r="992" spans="3:11" x14ac:dyDescent="0.2">
      <c r="C992" s="66"/>
      <c r="H992" s="67"/>
      <c r="I992" s="67"/>
      <c r="J992" s="67"/>
      <c r="K992" s="68"/>
    </row>
    <row r="993" spans="3:11" x14ac:dyDescent="0.2">
      <c r="C993" s="66"/>
      <c r="H993" s="67"/>
      <c r="I993" s="67"/>
      <c r="J993" s="67"/>
      <c r="K993" s="68"/>
    </row>
    <row r="994" spans="3:11" x14ac:dyDescent="0.2">
      <c r="C994" s="66"/>
      <c r="H994" s="67"/>
      <c r="I994" s="67"/>
      <c r="J994" s="67"/>
      <c r="K994" s="68"/>
    </row>
    <row r="995" spans="3:11" x14ac:dyDescent="0.2">
      <c r="C995" s="66"/>
      <c r="H995" s="67"/>
      <c r="I995" s="67"/>
      <c r="J995" s="67"/>
      <c r="K995" s="68"/>
    </row>
    <row r="996" spans="3:11" x14ac:dyDescent="0.2">
      <c r="C996" s="66"/>
      <c r="H996" s="67"/>
      <c r="I996" s="67"/>
      <c r="J996" s="67"/>
      <c r="K996" s="68"/>
    </row>
    <row r="997" spans="3:11" x14ac:dyDescent="0.2">
      <c r="C997" s="66"/>
      <c r="H997" s="67"/>
      <c r="I997" s="67"/>
      <c r="J997" s="67"/>
      <c r="K997" s="68"/>
    </row>
    <row r="998" spans="3:11" x14ac:dyDescent="0.2">
      <c r="C998" s="66"/>
      <c r="H998" s="67"/>
      <c r="I998" s="67"/>
      <c r="J998" s="67"/>
      <c r="K998" s="68"/>
    </row>
    <row r="999" spans="3:11" x14ac:dyDescent="0.2">
      <c r="C999" s="66"/>
      <c r="H999" s="67"/>
      <c r="I999" s="67"/>
      <c r="J999" s="67"/>
      <c r="K999" s="68"/>
    </row>
    <row r="1000" spans="3:11" x14ac:dyDescent="0.2">
      <c r="C1000" s="66"/>
      <c r="H1000" s="67"/>
      <c r="I1000" s="67"/>
      <c r="J1000" s="67"/>
      <c r="K1000" s="68"/>
    </row>
  </sheetData>
  <conditionalFormatting sqref="K1:K1000">
    <cfRule type="colorScale" priority="1">
      <colorScale>
        <cfvo type="percent" val="20"/>
        <cfvo type="percent" val="100"/>
        <color rgb="FFFFFFFF"/>
        <color rgb="FFE67C7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000"/>
  <sheetViews>
    <sheetView workbookViewId="0"/>
  </sheetViews>
  <sheetFormatPr baseColWidth="10" defaultColWidth="14.3984375" defaultRowHeight="15.75" customHeight="1" x14ac:dyDescent="0.2"/>
  <cols>
    <col min="7" max="7" width="29.19921875" customWidth="1"/>
    <col min="8" max="8" width="12.59765625" customWidth="1"/>
  </cols>
  <sheetData>
    <row r="1" spans="1:14" x14ac:dyDescent="0.2">
      <c r="A1" s="49" t="s">
        <v>371</v>
      </c>
      <c r="B1" s="66" t="s">
        <v>372</v>
      </c>
      <c r="C1" s="49" t="s">
        <v>468</v>
      </c>
      <c r="D1" s="49" t="s">
        <v>371</v>
      </c>
    </row>
    <row r="2" spans="1:14" x14ac:dyDescent="0.2">
      <c r="A2" s="49">
        <v>19</v>
      </c>
      <c r="B2" s="66">
        <v>0.114</v>
      </c>
      <c r="C2" s="66">
        <f>Output!H2/Output!J2</f>
        <v>0.20450807777885266</v>
      </c>
      <c r="D2" s="49">
        <v>19</v>
      </c>
      <c r="E2" s="66">
        <f>B3-B2</f>
        <v>-3.4000000000000002E-2</v>
      </c>
    </row>
    <row r="3" spans="1:14" x14ac:dyDescent="0.2">
      <c r="A3" s="49">
        <v>20</v>
      </c>
      <c r="B3" s="66">
        <v>0.08</v>
      </c>
      <c r="C3" s="66">
        <f>Output!H3/Output!J3</f>
        <v>0.21682647695638727</v>
      </c>
      <c r="D3" s="49">
        <v>20</v>
      </c>
      <c r="K3" s="66"/>
      <c r="N3" s="66"/>
    </row>
    <row r="4" spans="1:14" x14ac:dyDescent="0.2">
      <c r="A4" s="49">
        <v>21</v>
      </c>
      <c r="B4" s="66">
        <v>0.08</v>
      </c>
      <c r="C4" s="66">
        <f>Output!H4/Output!J4</f>
        <v>0.19265042858355258</v>
      </c>
      <c r="D4" s="49">
        <v>21</v>
      </c>
    </row>
    <row r="5" spans="1:14" x14ac:dyDescent="0.2">
      <c r="A5" s="49">
        <v>22</v>
      </c>
      <c r="B5" s="66">
        <v>0.09</v>
      </c>
      <c r="C5" s="66">
        <f>Output!H5/Output!J5</f>
        <v>0.16879489225857941</v>
      </c>
      <c r="D5" s="49">
        <v>22</v>
      </c>
    </row>
    <row r="6" spans="1:14" x14ac:dyDescent="0.2">
      <c r="A6" s="49">
        <v>23</v>
      </c>
      <c r="B6" s="66">
        <v>0.1</v>
      </c>
      <c r="C6" s="66">
        <f>Output!H6/Output!J6</f>
        <v>0.1584389787930128</v>
      </c>
      <c r="D6" s="49">
        <v>23</v>
      </c>
    </row>
    <row r="7" spans="1:14" x14ac:dyDescent="0.2">
      <c r="A7" s="49">
        <v>19</v>
      </c>
      <c r="B7" s="66">
        <v>9.5000000000000001E-2</v>
      </c>
      <c r="C7" s="66">
        <f>Output!H7/Output!J7</f>
        <v>1.2563253976726807</v>
      </c>
      <c r="D7" s="49">
        <v>19</v>
      </c>
    </row>
    <row r="8" spans="1:14" x14ac:dyDescent="0.2">
      <c r="A8" s="49">
        <v>20</v>
      </c>
      <c r="B8" s="66">
        <v>0.09</v>
      </c>
      <c r="C8" s="66">
        <f>Output!H8/Output!J8</f>
        <v>1.1351030110935023</v>
      </c>
      <c r="D8" s="49">
        <v>20</v>
      </c>
    </row>
    <row r="9" spans="1:14" x14ac:dyDescent="0.2">
      <c r="A9" s="49">
        <v>21</v>
      </c>
      <c r="B9" s="66">
        <v>0.09</v>
      </c>
      <c r="C9" s="66">
        <f>Output!H9/Output!J9</f>
        <v>1.1657569141193596</v>
      </c>
      <c r="D9" s="49">
        <v>21</v>
      </c>
    </row>
    <row r="10" spans="1:14" x14ac:dyDescent="0.2">
      <c r="A10" s="49">
        <v>22</v>
      </c>
      <c r="B10" s="66">
        <v>0.11</v>
      </c>
      <c r="C10" s="66">
        <f>Output!H10/Output!J10</f>
        <v>1.1852003942181339</v>
      </c>
      <c r="D10" s="49">
        <v>22</v>
      </c>
    </row>
    <row r="11" spans="1:14" x14ac:dyDescent="0.2">
      <c r="A11" s="49">
        <v>23</v>
      </c>
      <c r="B11" s="66">
        <v>0.125</v>
      </c>
      <c r="C11" s="66">
        <f>Output!H11/Output!J11</f>
        <v>1.1867019995181884</v>
      </c>
      <c r="D11" s="49">
        <v>23</v>
      </c>
      <c r="G11" s="49" t="s">
        <v>371</v>
      </c>
      <c r="H11" s="49" t="s">
        <v>469</v>
      </c>
      <c r="I11" s="49" t="s">
        <v>470</v>
      </c>
      <c r="J11" s="49" t="s">
        <v>471</v>
      </c>
      <c r="K11" s="49" t="s">
        <v>472</v>
      </c>
      <c r="L11" s="49" t="s">
        <v>473</v>
      </c>
      <c r="N11" s="49" t="s">
        <v>474</v>
      </c>
    </row>
    <row r="12" spans="1:14" x14ac:dyDescent="0.2">
      <c r="A12" s="49">
        <v>19</v>
      </c>
      <c r="B12" s="66">
        <v>8.3299999999999999E-2</v>
      </c>
      <c r="C12" s="66">
        <f>Output!H12/Output!J12</f>
        <v>0.17594254221797198</v>
      </c>
      <c r="D12" s="49">
        <v>19</v>
      </c>
      <c r="G12" s="49">
        <v>19</v>
      </c>
      <c r="I12" s="49"/>
      <c r="J12" s="49"/>
      <c r="K12" s="49"/>
      <c r="L12" s="66"/>
    </row>
    <row r="13" spans="1:14" x14ac:dyDescent="0.2">
      <c r="A13" s="49">
        <v>20</v>
      </c>
      <c r="B13" s="66">
        <v>8.8300000000000003E-2</v>
      </c>
      <c r="C13" s="66">
        <f>Output!H13/Output!J13</f>
        <v>0.15140924335265812</v>
      </c>
      <c r="D13" s="49">
        <v>20</v>
      </c>
      <c r="G13" s="49">
        <v>20</v>
      </c>
      <c r="H13" s="66">
        <v>-8.0309999999999995E-4</v>
      </c>
      <c r="I13" s="66">
        <v>2.2523999999999999E-3</v>
      </c>
      <c r="J13" s="66">
        <v>-4.9949E-3</v>
      </c>
      <c r="K13" s="66">
        <v>-1.2999999999999999E-2</v>
      </c>
      <c r="L13" s="66">
        <v>9.9676999999999995E-3</v>
      </c>
      <c r="N13" s="49" t="s">
        <v>475</v>
      </c>
    </row>
    <row r="14" spans="1:14" x14ac:dyDescent="0.2">
      <c r="A14" s="49">
        <v>21</v>
      </c>
      <c r="B14" s="66">
        <v>8.8599999999999998E-2</v>
      </c>
      <c r="C14" s="66">
        <f>Output!H14/Output!J14</f>
        <v>0.13990825688073394</v>
      </c>
      <c r="D14" s="49">
        <v>21</v>
      </c>
      <c r="G14" s="49">
        <v>21</v>
      </c>
      <c r="H14" s="66">
        <v>-4.4539999999999998E-4</v>
      </c>
      <c r="I14" s="66">
        <v>2.9760000000000002E-4</v>
      </c>
      <c r="J14" s="66">
        <v>2.3349999999999999E-2</v>
      </c>
      <c r="K14" s="66">
        <v>1.7000000000000001E-2</v>
      </c>
      <c r="L14" s="66">
        <v>1.7808999999999998E-2</v>
      </c>
      <c r="N14" s="49" t="s">
        <v>476</v>
      </c>
    </row>
    <row r="15" spans="1:14" x14ac:dyDescent="0.2">
      <c r="A15" s="49">
        <v>22</v>
      </c>
      <c r="B15" s="66">
        <v>0.1</v>
      </c>
      <c r="C15" s="66">
        <f>Output!H15/Output!J15</f>
        <v>0.12484197218710492</v>
      </c>
      <c r="D15" s="49">
        <v>22</v>
      </c>
      <c r="G15" s="49">
        <v>22</v>
      </c>
      <c r="H15" s="66">
        <v>9.2464999999999995E-3</v>
      </c>
      <c r="I15" s="66">
        <v>7.6778999999999997E-3</v>
      </c>
      <c r="J15" s="66">
        <v>-2.6019400000000002E-2</v>
      </c>
      <c r="K15" s="66">
        <v>6.2E-2</v>
      </c>
      <c r="L15" s="66">
        <v>-5.2223E-3</v>
      </c>
      <c r="N15" s="49">
        <v>-2.30998E-2</v>
      </c>
    </row>
    <row r="16" spans="1:14" x14ac:dyDescent="0.2">
      <c r="A16" s="49">
        <v>23</v>
      </c>
      <c r="B16" s="66">
        <v>0.1</v>
      </c>
      <c r="C16" s="66">
        <f>Output!H16/Output!J16</f>
        <v>0.10499599251936949</v>
      </c>
      <c r="D16" s="49">
        <v>23</v>
      </c>
      <c r="G16" s="49">
        <v>23</v>
      </c>
      <c r="H16" s="66">
        <v>5.3222E-3</v>
      </c>
      <c r="I16" s="66">
        <v>2.6963500000000001E-2</v>
      </c>
      <c r="J16" s="66">
        <v>-1.6215500000000001E-2</v>
      </c>
      <c r="K16" s="66">
        <v>1E-3</v>
      </c>
      <c r="L16" s="66">
        <v>6.3905000000000003E-3</v>
      </c>
      <c r="N16" s="49">
        <v>-2.77571E-2</v>
      </c>
    </row>
    <row r="17" spans="1:15" x14ac:dyDescent="0.2">
      <c r="A17" s="49">
        <v>19</v>
      </c>
      <c r="B17" s="66">
        <v>0.08</v>
      </c>
      <c r="C17" s="66">
        <f>Output!H17/Output!J17</f>
        <v>0.97495899768358052</v>
      </c>
      <c r="D17" s="49">
        <v>19</v>
      </c>
    </row>
    <row r="18" spans="1:15" x14ac:dyDescent="0.2">
      <c r="A18" s="49">
        <v>20</v>
      </c>
      <c r="B18" s="66">
        <v>0.08</v>
      </c>
      <c r="C18" s="66">
        <f>Output!H18/Output!J18</f>
        <v>0.99106505860370309</v>
      </c>
      <c r="D18" s="49">
        <v>20</v>
      </c>
    </row>
    <row r="19" spans="1:15" x14ac:dyDescent="0.2">
      <c r="A19" s="49">
        <v>21</v>
      </c>
      <c r="B19" s="66">
        <v>0.08</v>
      </c>
      <c r="C19" s="66">
        <f>Output!H19/Output!J19</f>
        <v>0.89824954729671469</v>
      </c>
      <c r="D19" s="49">
        <v>21</v>
      </c>
    </row>
    <row r="20" spans="1:15" x14ac:dyDescent="0.2">
      <c r="A20" s="49">
        <v>22</v>
      </c>
      <c r="B20" s="66">
        <v>0.08</v>
      </c>
      <c r="C20" s="66">
        <f>Output!H20/Output!J20</f>
        <v>0.88210058827632709</v>
      </c>
      <c r="D20" s="49">
        <v>22</v>
      </c>
    </row>
    <row r="21" spans="1:15" x14ac:dyDescent="0.2">
      <c r="A21" s="49">
        <v>23</v>
      </c>
      <c r="B21" s="66">
        <v>8.5000000000000006E-2</v>
      </c>
      <c r="C21" s="66">
        <f>Output!H21/Output!J21</f>
        <v>1.0135764877931659</v>
      </c>
      <c r="D21" s="49">
        <v>23</v>
      </c>
    </row>
    <row r="22" spans="1:15" x14ac:dyDescent="0.2">
      <c r="A22" s="49">
        <v>19</v>
      </c>
      <c r="B22" s="66">
        <v>0.11</v>
      </c>
      <c r="C22" s="66">
        <f>Output!H22/Output!J22</f>
        <v>0.66169648774022527</v>
      </c>
      <c r="D22" s="49">
        <v>19</v>
      </c>
    </row>
    <row r="23" spans="1:15" x14ac:dyDescent="0.2">
      <c r="A23" s="49">
        <v>20</v>
      </c>
      <c r="B23" s="66">
        <v>0.11</v>
      </c>
      <c r="C23" s="66">
        <f>Output!H23/Output!J23</f>
        <v>0.84715750232991616</v>
      </c>
      <c r="D23" s="49">
        <v>20</v>
      </c>
    </row>
    <row r="24" spans="1:15" x14ac:dyDescent="0.2">
      <c r="A24" s="49">
        <v>21</v>
      </c>
      <c r="B24" s="66">
        <v>0.13</v>
      </c>
      <c r="C24" s="66">
        <f>Output!H24/Output!J24</f>
        <v>0.84100737725769525</v>
      </c>
      <c r="D24" s="49">
        <v>21</v>
      </c>
    </row>
    <row r="25" spans="1:15" x14ac:dyDescent="0.2">
      <c r="A25" s="49">
        <v>22</v>
      </c>
      <c r="B25" s="66">
        <v>0.13</v>
      </c>
      <c r="C25" s="66">
        <f>Output!H25/Output!J25</f>
        <v>0.75906635802469136</v>
      </c>
      <c r="D25" s="49">
        <v>22</v>
      </c>
    </row>
    <row r="26" spans="1:15" x14ac:dyDescent="0.2">
      <c r="A26" s="49">
        <v>23</v>
      </c>
      <c r="B26" s="66">
        <v>0.13</v>
      </c>
      <c r="C26" s="66">
        <f>Output!H26/Output!J26</f>
        <v>0.78942082356879817</v>
      </c>
      <c r="D26" s="49">
        <v>23</v>
      </c>
    </row>
    <row r="27" spans="1:15" x14ac:dyDescent="0.2">
      <c r="A27" s="49">
        <v>19</v>
      </c>
      <c r="B27" s="66">
        <v>8.3000000000000004E-2</v>
      </c>
      <c r="C27" s="66">
        <f>Output!H27/Output!J27</f>
        <v>0.31334751395905347</v>
      </c>
      <c r="D27" s="49">
        <v>19</v>
      </c>
    </row>
    <row r="28" spans="1:15" x14ac:dyDescent="0.2">
      <c r="A28" s="49">
        <v>20</v>
      </c>
      <c r="B28" s="66">
        <v>9.5000000000000001E-2</v>
      </c>
      <c r="C28" s="66">
        <f>Output!H28/Output!J28</f>
        <v>0.34055181264035933</v>
      </c>
      <c r="D28" s="49">
        <v>20</v>
      </c>
      <c r="K28" s="72"/>
      <c r="L28" s="72"/>
      <c r="M28" s="72"/>
      <c r="N28" s="72"/>
      <c r="O28" s="72"/>
    </row>
    <row r="29" spans="1:15" x14ac:dyDescent="0.2">
      <c r="A29" s="49">
        <v>21</v>
      </c>
      <c r="B29" s="66">
        <v>9.5000000000000001E-2</v>
      </c>
      <c r="C29" s="66">
        <f>Output!H29/Output!J29</f>
        <v>0.35960008600301008</v>
      </c>
      <c r="D29" s="49">
        <v>21</v>
      </c>
      <c r="K29" s="72"/>
      <c r="L29" s="72"/>
      <c r="M29" s="72"/>
      <c r="N29" s="72"/>
      <c r="O29" s="72"/>
    </row>
    <row r="30" spans="1:15" x14ac:dyDescent="0.2">
      <c r="A30" s="49">
        <v>22</v>
      </c>
      <c r="B30" s="66">
        <v>0.106</v>
      </c>
      <c r="C30" s="66">
        <f>Output!H30/Output!J30</f>
        <v>0.43063917776561456</v>
      </c>
      <c r="D30" s="49">
        <v>22</v>
      </c>
      <c r="K30" s="72"/>
      <c r="L30" s="72"/>
      <c r="M30" s="72"/>
      <c r="N30" s="73"/>
      <c r="O30" s="72"/>
    </row>
    <row r="31" spans="1:15" x14ac:dyDescent="0.2">
      <c r="A31" s="49">
        <v>23</v>
      </c>
      <c r="B31" s="66">
        <v>0.14799999999999999</v>
      </c>
      <c r="C31" s="66">
        <f>Output!H31/Output!J31</f>
        <v>0.58386581469648557</v>
      </c>
      <c r="D31" s="49">
        <v>23</v>
      </c>
      <c r="K31" s="72"/>
      <c r="L31" s="72"/>
      <c r="M31" s="72"/>
      <c r="N31" s="73"/>
      <c r="O31" s="72"/>
    </row>
    <row r="32" spans="1:15" x14ac:dyDescent="0.2">
      <c r="A32" s="49">
        <v>19</v>
      </c>
      <c r="B32" s="66">
        <v>0.1135</v>
      </c>
      <c r="C32" s="66">
        <f>Output!H32/Output!J32</f>
        <v>0.31682248254111284</v>
      </c>
      <c r="D32" s="49">
        <v>19</v>
      </c>
      <c r="K32" s="72"/>
      <c r="L32" s="73"/>
      <c r="M32" s="74"/>
      <c r="N32" s="73"/>
      <c r="O32" s="72"/>
    </row>
    <row r="33" spans="1:15" x14ac:dyDescent="0.2">
      <c r="A33" s="49">
        <v>20</v>
      </c>
      <c r="B33" s="66">
        <v>0.106</v>
      </c>
      <c r="C33" s="66">
        <f>Output!H33/Output!J33</f>
        <v>0.29487889475064849</v>
      </c>
      <c r="D33" s="49">
        <v>20</v>
      </c>
      <c r="J33" s="75"/>
      <c r="K33" s="72"/>
      <c r="L33" s="73"/>
      <c r="M33" s="72"/>
      <c r="N33" s="73"/>
      <c r="O33" s="72"/>
    </row>
    <row r="34" spans="1:15" x14ac:dyDescent="0.2">
      <c r="A34" s="49">
        <v>21</v>
      </c>
      <c r="B34" s="66">
        <v>9.4500000000000001E-2</v>
      </c>
      <c r="C34" s="66">
        <f>Output!H34/Output!J34</f>
        <v>0.25029212968266695</v>
      </c>
      <c r="D34" s="49">
        <v>21</v>
      </c>
      <c r="K34" s="72"/>
      <c r="L34" s="72"/>
      <c r="M34" s="72"/>
      <c r="N34" s="72"/>
    </row>
    <row r="35" spans="1:15" x14ac:dyDescent="0.2">
      <c r="A35" s="49">
        <v>22</v>
      </c>
      <c r="B35" s="66">
        <v>0.106</v>
      </c>
      <c r="C35" s="66">
        <f>Output!H35/Output!J35</f>
        <v>0.23785313998497892</v>
      </c>
      <c r="D35" s="49">
        <v>22</v>
      </c>
    </row>
    <row r="36" spans="1:15" x14ac:dyDescent="0.2">
      <c r="A36" s="49">
        <v>23</v>
      </c>
      <c r="B36" s="66">
        <v>0.13</v>
      </c>
      <c r="C36" s="66">
        <f>Output!H36/Output!J36</f>
        <v>0.22679786891151432</v>
      </c>
      <c r="D36" s="49">
        <v>23</v>
      </c>
    </row>
    <row r="37" spans="1:15" x14ac:dyDescent="0.2">
      <c r="A37" s="49">
        <v>19</v>
      </c>
      <c r="B37" s="66">
        <v>0.1</v>
      </c>
      <c r="C37" s="66">
        <f>Output!H37/Output!J37</f>
        <v>0.17032462949894142</v>
      </c>
      <c r="D37" s="49">
        <v>19</v>
      </c>
    </row>
    <row r="38" spans="1:15" x14ac:dyDescent="0.2">
      <c r="A38" s="49">
        <v>20</v>
      </c>
      <c r="B38" s="66">
        <v>0.1</v>
      </c>
      <c r="C38" s="66">
        <f>Output!H38/Output!J38</f>
        <v>0.15816242257398486</v>
      </c>
      <c r="D38" s="49">
        <v>20</v>
      </c>
    </row>
    <row r="39" spans="1:15" x14ac:dyDescent="0.2">
      <c r="A39" s="49">
        <v>21</v>
      </c>
      <c r="B39" s="66">
        <v>0.1</v>
      </c>
      <c r="C39" s="66">
        <f>Output!H39/Output!J39</f>
        <v>0.16967375886524821</v>
      </c>
      <c r="D39" s="49">
        <v>21</v>
      </c>
    </row>
    <row r="40" spans="1:15" x14ac:dyDescent="0.2">
      <c r="A40" s="49">
        <v>22</v>
      </c>
      <c r="B40" s="66">
        <v>0.1</v>
      </c>
      <c r="C40" s="66">
        <f>Output!H40/Output!J40</f>
        <v>0.1575660725261217</v>
      </c>
      <c r="D40" s="49">
        <v>22</v>
      </c>
    </row>
    <row r="41" spans="1:15" x14ac:dyDescent="0.2">
      <c r="A41" s="49">
        <v>23</v>
      </c>
      <c r="B41" s="66">
        <v>0.1</v>
      </c>
      <c r="C41" s="66">
        <f>Output!H41/Output!J41</f>
        <v>0.13982564679415074</v>
      </c>
      <c r="D41" s="49">
        <v>23</v>
      </c>
    </row>
    <row r="42" spans="1:15" x14ac:dyDescent="0.2">
      <c r="A42" s="49">
        <v>19</v>
      </c>
      <c r="B42" s="66">
        <v>9.1899999999999996E-2</v>
      </c>
      <c r="C42" s="66">
        <f>Output!H42/Output!J42</f>
        <v>0.76492753623188403</v>
      </c>
      <c r="D42" s="49">
        <v>19</v>
      </c>
    </row>
    <row r="43" spans="1:15" x14ac:dyDescent="0.2">
      <c r="A43" s="49">
        <v>20</v>
      </c>
      <c r="B43" s="66">
        <v>9.69E-2</v>
      </c>
      <c r="C43" s="66">
        <f>Output!H43/Output!J43</f>
        <v>0.66002490660024904</v>
      </c>
      <c r="D43" s="49">
        <v>20</v>
      </c>
    </row>
    <row r="44" spans="1:15" x14ac:dyDescent="0.2">
      <c r="A44" s="49">
        <v>21</v>
      </c>
      <c r="B44" s="66">
        <v>9.11E-2</v>
      </c>
      <c r="C44" s="66">
        <f>Output!H44/Output!J44</f>
        <v>0.70039880358923234</v>
      </c>
      <c r="D44" s="49">
        <v>21</v>
      </c>
    </row>
    <row r="45" spans="1:15" x14ac:dyDescent="0.2">
      <c r="A45" s="49">
        <v>22</v>
      </c>
      <c r="B45" s="66">
        <v>9.8599999999999993E-2</v>
      </c>
      <c r="C45" s="66">
        <f>Output!H45/Output!J45</f>
        <v>0.74212876603922895</v>
      </c>
      <c r="D45" s="49">
        <v>22</v>
      </c>
    </row>
    <row r="46" spans="1:15" x14ac:dyDescent="0.2">
      <c r="A46" s="49">
        <v>23</v>
      </c>
      <c r="B46" s="66">
        <v>9.9699999999999997E-2</v>
      </c>
      <c r="C46" s="66">
        <f>Output!H46/Output!J46</f>
        <v>0.676936786109686</v>
      </c>
      <c r="D46" s="49">
        <v>23</v>
      </c>
    </row>
    <row r="47" spans="1:15" x14ac:dyDescent="0.2">
      <c r="A47" s="49">
        <v>19</v>
      </c>
      <c r="B47" s="66">
        <v>8.5999999999999993E-2</v>
      </c>
      <c r="C47" s="66">
        <f>Output!H47/Output!J47</f>
        <v>0.64239183540524403</v>
      </c>
      <c r="D47" s="49">
        <v>19</v>
      </c>
    </row>
    <row r="48" spans="1:15" x14ac:dyDescent="0.2">
      <c r="A48" s="49">
        <v>20</v>
      </c>
      <c r="B48" s="66">
        <v>9.0999999999999998E-2</v>
      </c>
      <c r="C48" s="66">
        <f>Output!H48/Output!J48</f>
        <v>0.64072110887496814</v>
      </c>
      <c r="D48" s="49">
        <v>20</v>
      </c>
    </row>
    <row r="49" spans="1:4" x14ac:dyDescent="0.2">
      <c r="A49" s="49">
        <v>21</v>
      </c>
      <c r="B49" s="66">
        <v>6.8000000000000005E-2</v>
      </c>
      <c r="C49" s="66">
        <f>Output!H49/Output!J49</f>
        <v>0.61504009998958442</v>
      </c>
      <c r="D49" s="49">
        <v>21</v>
      </c>
    </row>
    <row r="50" spans="1:4" x14ac:dyDescent="0.2">
      <c r="A50" s="49">
        <v>22</v>
      </c>
      <c r="B50" s="66">
        <v>9.2999999999999999E-2</v>
      </c>
      <c r="C50" s="66">
        <f>Output!H50/Output!J50</f>
        <v>1.3593785697966643</v>
      </c>
      <c r="D50" s="49">
        <v>22</v>
      </c>
    </row>
    <row r="51" spans="1:4" x14ac:dyDescent="0.2">
      <c r="A51" s="49">
        <v>23</v>
      </c>
      <c r="B51" s="66">
        <v>9.4E-2</v>
      </c>
      <c r="C51" s="66">
        <f>Output!H51/Output!J51</f>
        <v>0.84572250179726816</v>
      </c>
      <c r="D51" s="49">
        <v>23</v>
      </c>
    </row>
    <row r="52" spans="1:4" x14ac:dyDescent="0.2">
      <c r="A52" s="49">
        <v>19</v>
      </c>
      <c r="B52" s="66">
        <v>0.114</v>
      </c>
      <c r="C52" s="66">
        <f>Output!H52/Output!J52</f>
        <v>0.19275008713837574</v>
      </c>
      <c r="D52" s="49">
        <v>19</v>
      </c>
    </row>
    <row r="53" spans="1:4" x14ac:dyDescent="0.2">
      <c r="A53" s="49">
        <v>20</v>
      </c>
      <c r="B53" s="66">
        <v>0.11</v>
      </c>
      <c r="C53" s="66">
        <f>Output!H53/Output!J53</f>
        <v>0.52782351004280537</v>
      </c>
      <c r="D53" s="49">
        <v>20</v>
      </c>
    </row>
    <row r="54" spans="1:4" x14ac:dyDescent="0.2">
      <c r="A54" s="49">
        <v>21</v>
      </c>
      <c r="B54" s="66">
        <v>0.11</v>
      </c>
      <c r="C54" s="66">
        <f>Output!H54/Output!J54</f>
        <v>0.42607174103237094</v>
      </c>
      <c r="D54" s="49">
        <v>21</v>
      </c>
    </row>
    <row r="55" spans="1:4" x14ac:dyDescent="0.2">
      <c r="A55" s="49">
        <v>22</v>
      </c>
      <c r="B55" s="66">
        <v>0.08</v>
      </c>
      <c r="C55" s="66">
        <f>Output!H55/Output!J55</f>
        <v>0.45803990610328638</v>
      </c>
      <c r="D55" s="49">
        <v>22</v>
      </c>
    </row>
    <row r="56" spans="1:4" x14ac:dyDescent="0.2">
      <c r="A56" s="49">
        <v>23</v>
      </c>
      <c r="B56" s="66">
        <v>0.08</v>
      </c>
      <c r="C56" s="66">
        <f>Output!H56/Output!J56</f>
        <v>0.45391641295322449</v>
      </c>
      <c r="D56" s="49">
        <v>23</v>
      </c>
    </row>
    <row r="57" spans="1:4" x14ac:dyDescent="0.2">
      <c r="A57" s="49">
        <v>19</v>
      </c>
      <c r="B57" s="66">
        <v>9.0999999999999998E-2</v>
      </c>
      <c r="C57" s="66">
        <f>Output!H57/Output!J57</f>
        <v>1.6184340931615462</v>
      </c>
      <c r="D57" s="49">
        <v>19</v>
      </c>
    </row>
    <row r="58" spans="1:4" x14ac:dyDescent="0.2">
      <c r="A58" s="49">
        <v>20</v>
      </c>
      <c r="B58" s="66">
        <v>0.109</v>
      </c>
      <c r="C58" s="66">
        <f>Output!H58/Output!J58</f>
        <v>1.5047398843930635</v>
      </c>
      <c r="D58" s="49">
        <v>20</v>
      </c>
    </row>
    <row r="59" spans="1:4" x14ac:dyDescent="0.2">
      <c r="A59" s="49">
        <v>21</v>
      </c>
      <c r="B59" s="66">
        <v>0.105</v>
      </c>
      <c r="C59" s="66">
        <f>Output!H59/Output!J59</f>
        <v>1.6081677704194262</v>
      </c>
      <c r="D59" s="49">
        <v>21</v>
      </c>
    </row>
    <row r="60" spans="1:4" x14ac:dyDescent="0.2">
      <c r="A60" s="49">
        <v>22</v>
      </c>
      <c r="B60" s="66">
        <v>0.109</v>
      </c>
      <c r="C60" s="66">
        <f>Output!H60/Output!J60</f>
        <v>1.5157017731254006</v>
      </c>
      <c r="D60" s="49">
        <v>22</v>
      </c>
    </row>
    <row r="61" spans="1:4" x14ac:dyDescent="0.2">
      <c r="A61" s="49">
        <v>23</v>
      </c>
      <c r="B61" s="66">
        <v>0.13500000000000001</v>
      </c>
      <c r="C61" s="66">
        <f>Output!H61/Output!J61</f>
        <v>1.4239837398373985</v>
      </c>
      <c r="D61" s="49">
        <v>23</v>
      </c>
    </row>
    <row r="62" spans="1:4" x14ac:dyDescent="0.2">
      <c r="A62" s="49">
        <v>19</v>
      </c>
      <c r="B62" s="66">
        <v>0.08</v>
      </c>
      <c r="C62" s="66">
        <f>Output!H62/Output!J62</f>
        <v>0.42751404256917963</v>
      </c>
      <c r="D62" s="49">
        <v>19</v>
      </c>
    </row>
    <row r="63" spans="1:4" x14ac:dyDescent="0.2">
      <c r="A63" s="49">
        <v>20</v>
      </c>
      <c r="B63" s="66">
        <v>0.08</v>
      </c>
      <c r="C63" s="66">
        <f>Output!H63/Output!J63</f>
        <v>0.54257258291835009</v>
      </c>
      <c r="D63" s="49">
        <v>20</v>
      </c>
    </row>
    <row r="64" spans="1:4" x14ac:dyDescent="0.2">
      <c r="A64" s="49">
        <v>21</v>
      </c>
      <c r="B64" s="66">
        <v>0.08</v>
      </c>
      <c r="C64" s="66">
        <f>Output!H64/Output!J64</f>
        <v>0.47481259148640459</v>
      </c>
      <c r="D64" s="49">
        <v>21</v>
      </c>
    </row>
    <row r="65" spans="1:4" x14ac:dyDescent="0.2">
      <c r="A65" s="49">
        <v>22</v>
      </c>
      <c r="B65" s="66">
        <v>0.08</v>
      </c>
      <c r="C65" s="66">
        <f>Output!H65/Output!J65</f>
        <v>0.55390367110133043</v>
      </c>
      <c r="D65" s="49">
        <v>22</v>
      </c>
    </row>
    <row r="66" spans="1:4" x14ac:dyDescent="0.2">
      <c r="A66" s="49">
        <v>23</v>
      </c>
      <c r="B66" s="66">
        <v>0.08</v>
      </c>
      <c r="C66" s="66">
        <f>Output!H66/Output!J66</f>
        <v>0.49601968288682341</v>
      </c>
      <c r="D66" s="49">
        <v>23</v>
      </c>
    </row>
    <row r="67" spans="1:4" x14ac:dyDescent="0.2">
      <c r="A67" s="49">
        <v>19</v>
      </c>
      <c r="B67" s="66">
        <v>8.9499999999999996E-2</v>
      </c>
      <c r="C67" s="66">
        <f>Output!H67/Output!J67</f>
        <v>1.2769679300291545</v>
      </c>
      <c r="D67" s="49">
        <v>19</v>
      </c>
    </row>
    <row r="68" spans="1:4" x14ac:dyDescent="0.2">
      <c r="A68" s="49">
        <v>20</v>
      </c>
      <c r="B68" s="66">
        <v>0.1075</v>
      </c>
      <c r="C68" s="66">
        <f>Output!H68/Output!J68</f>
        <v>1.370179418436791</v>
      </c>
      <c r="D68" s="49">
        <v>20</v>
      </c>
    </row>
    <row r="69" spans="1:4" x14ac:dyDescent="0.2">
      <c r="A69" s="49">
        <v>21</v>
      </c>
      <c r="B69" s="66">
        <v>0.10349999999999999</v>
      </c>
      <c r="C69" s="66">
        <f>Output!H69/Output!J69</f>
        <v>1.394566098945661</v>
      </c>
      <c r="D69" s="49">
        <v>21</v>
      </c>
    </row>
    <row r="70" spans="1:4" x14ac:dyDescent="0.2">
      <c r="A70" s="49">
        <v>22</v>
      </c>
      <c r="B70" s="66">
        <v>0.10349999999999999</v>
      </c>
      <c r="C70" s="66">
        <f>Output!H70/Output!J70</f>
        <v>1.4405118976204758</v>
      </c>
      <c r="D70" s="49">
        <v>22</v>
      </c>
    </row>
    <row r="71" spans="1:4" x14ac:dyDescent="0.2">
      <c r="A71" s="49">
        <v>23</v>
      </c>
      <c r="B71" s="66">
        <v>9.6000000000000002E-2</v>
      </c>
      <c r="C71" s="66">
        <f>Output!H71/Output!J71</f>
        <v>1.341972776431102</v>
      </c>
      <c r="D71" s="49">
        <v>23</v>
      </c>
    </row>
    <row r="72" spans="1:4" x14ac:dyDescent="0.2">
      <c r="A72" s="49">
        <v>19</v>
      </c>
      <c r="B72" s="66">
        <v>6.8000000000000005E-2</v>
      </c>
      <c r="C72" s="66">
        <f>Output!H72/Output!J72</f>
        <v>0.68830845771144278</v>
      </c>
      <c r="D72" s="49">
        <v>19</v>
      </c>
    </row>
    <row r="73" spans="1:4" x14ac:dyDescent="0.2">
      <c r="A73" s="49">
        <v>20</v>
      </c>
      <c r="B73" s="66">
        <v>6.8000000000000005E-2</v>
      </c>
      <c r="C73" s="66">
        <f>Output!H73/Output!J73</f>
        <v>0.63934426229508201</v>
      </c>
      <c r="D73" s="49">
        <v>20</v>
      </c>
    </row>
    <row r="74" spans="1:4" x14ac:dyDescent="0.2">
      <c r="A74" s="49">
        <v>21</v>
      </c>
      <c r="B74" s="66">
        <v>6.9000000000000006E-2</v>
      </c>
      <c r="C74" s="66">
        <f>Output!H74/Output!J74</f>
        <v>0.7766558966074314</v>
      </c>
      <c r="D74" s="49">
        <v>21</v>
      </c>
    </row>
    <row r="75" spans="1:4" x14ac:dyDescent="0.2">
      <c r="A75" s="49">
        <v>22</v>
      </c>
      <c r="B75" s="66">
        <v>7.1999999999999995E-2</v>
      </c>
      <c r="C75" s="66">
        <f>Output!H75/Output!J75</f>
        <v>0.53351490391889844</v>
      </c>
      <c r="D75" s="49">
        <v>22</v>
      </c>
    </row>
    <row r="76" spans="1:4" x14ac:dyDescent="0.2">
      <c r="A76" s="49">
        <v>23</v>
      </c>
      <c r="B76" s="66">
        <v>7.4999999999999997E-2</v>
      </c>
      <c r="C76" s="66">
        <f>Output!H76/Output!J76</f>
        <v>0.52428031404478048</v>
      </c>
      <c r="D76" s="49">
        <v>23</v>
      </c>
    </row>
    <row r="77" spans="1:4" x14ac:dyDescent="0.2">
      <c r="A77" s="49">
        <v>19</v>
      </c>
      <c r="B77" s="66">
        <v>9.6000000000000002E-2</v>
      </c>
      <c r="C77" s="66">
        <f>Output!H77/Output!J77</f>
        <v>1.0024223967885939</v>
      </c>
      <c r="D77" s="49">
        <v>19</v>
      </c>
    </row>
    <row r="78" spans="1:4" x14ac:dyDescent="0.2">
      <c r="A78" s="49">
        <v>20</v>
      </c>
      <c r="B78" s="66">
        <v>0.08</v>
      </c>
      <c r="C78" s="66">
        <f>Output!H78/Output!J78</f>
        <v>1.5768871986222732</v>
      </c>
      <c r="D78" s="49">
        <v>20</v>
      </c>
    </row>
    <row r="79" spans="1:4" x14ac:dyDescent="0.2">
      <c r="A79" s="49">
        <v>21</v>
      </c>
      <c r="B79" s="66">
        <v>0.08</v>
      </c>
      <c r="C79" s="66">
        <f>Output!H79/Output!J79</f>
        <v>1.2123601757516453</v>
      </c>
      <c r="D79" s="49">
        <v>21</v>
      </c>
    </row>
    <row r="80" spans="1:4" x14ac:dyDescent="0.2">
      <c r="A80" s="49">
        <v>22</v>
      </c>
      <c r="B80" s="66">
        <v>0.08</v>
      </c>
      <c r="C80" s="66">
        <f>Output!H80/Output!J80</f>
        <v>0.85119321241413726</v>
      </c>
      <c r="D80" s="49">
        <v>22</v>
      </c>
    </row>
    <row r="81" spans="1:4" x14ac:dyDescent="0.2">
      <c r="A81" s="49">
        <v>23</v>
      </c>
      <c r="B81" s="66">
        <v>0.08</v>
      </c>
      <c r="C81" s="66">
        <f>Output!H81/Output!J81</f>
        <v>0.93017059250149781</v>
      </c>
      <c r="D81" s="49">
        <v>23</v>
      </c>
    </row>
    <row r="82" spans="1:4" x14ac:dyDescent="0.2">
      <c r="A82" s="49">
        <v>19</v>
      </c>
      <c r="B82" s="66">
        <v>0.105</v>
      </c>
      <c r="C82" s="66">
        <f>Output!H82/Output!J82</f>
        <v>0.638240656823993</v>
      </c>
      <c r="D82" s="49">
        <v>19</v>
      </c>
    </row>
    <row r="83" spans="1:4" x14ac:dyDescent="0.2">
      <c r="A83" s="49">
        <v>20</v>
      </c>
      <c r="B83" s="66">
        <v>0.105</v>
      </c>
      <c r="C83" s="66">
        <f>Output!H83/Output!J83</f>
        <v>0.77305569995083512</v>
      </c>
      <c r="D83" s="49">
        <v>20</v>
      </c>
    </row>
    <row r="84" spans="1:4" x14ac:dyDescent="0.2">
      <c r="A84" s="49">
        <v>21</v>
      </c>
      <c r="B84" s="66">
        <v>0.1</v>
      </c>
      <c r="C84" s="66">
        <f>Output!H84/Output!J84</f>
        <v>0.84423493516399695</v>
      </c>
      <c r="D84" s="49">
        <v>21</v>
      </c>
    </row>
    <row r="85" spans="1:4" x14ac:dyDescent="0.2">
      <c r="A85" s="49">
        <v>22</v>
      </c>
      <c r="B85" s="66">
        <v>0.11</v>
      </c>
      <c r="C85" s="66">
        <f>Output!H85/Output!J85</f>
        <v>0.74871038692511105</v>
      </c>
      <c r="D85" s="49">
        <v>22</v>
      </c>
    </row>
    <row r="86" spans="1:4" x14ac:dyDescent="0.2">
      <c r="A86" s="49">
        <v>23</v>
      </c>
      <c r="B86" s="66">
        <v>0.113</v>
      </c>
      <c r="C86" s="66">
        <f>Output!H86/Output!J86</f>
        <v>0.84879837374121014</v>
      </c>
      <c r="D86" s="49">
        <v>23</v>
      </c>
    </row>
    <row r="87" spans="1:4" x14ac:dyDescent="0.2">
      <c r="A87" s="49">
        <v>19</v>
      </c>
      <c r="B87" s="66">
        <v>8.1100000000000005E-2</v>
      </c>
      <c r="C87" s="66">
        <f>Output!H87/Output!J87</f>
        <v>0.36420628652587733</v>
      </c>
      <c r="D87" s="49">
        <v>19</v>
      </c>
    </row>
    <row r="88" spans="1:4" x14ac:dyDescent="0.2">
      <c r="A88" s="49">
        <v>20</v>
      </c>
      <c r="B88" s="66">
        <v>8.2600000000000007E-2</v>
      </c>
      <c r="C88" s="66">
        <f>Output!H88/Output!J88</f>
        <v>0.3542447057330384</v>
      </c>
      <c r="D88" s="49">
        <v>20</v>
      </c>
    </row>
    <row r="89" spans="1:4" x14ac:dyDescent="0.2">
      <c r="A89" s="49">
        <v>21</v>
      </c>
      <c r="B89" s="66">
        <v>9.1300000000000006E-2</v>
      </c>
      <c r="C89" s="66">
        <f>Output!H89/Output!J89</f>
        <v>0.51569377814681239</v>
      </c>
      <c r="D89" s="49">
        <v>21</v>
      </c>
    </row>
    <row r="90" spans="1:4" x14ac:dyDescent="0.2">
      <c r="A90" s="49">
        <v>22</v>
      </c>
      <c r="B90" s="66">
        <v>8.4000000000000005E-2</v>
      </c>
      <c r="C90" s="66">
        <f>Output!H90/Output!J90</f>
        <v>0.66878691503861876</v>
      </c>
      <c r="D90" s="49">
        <v>22</v>
      </c>
    </row>
    <row r="91" spans="1:4" x14ac:dyDescent="0.2">
      <c r="A91" s="49">
        <v>23</v>
      </c>
      <c r="B91" s="66">
        <v>8.2000000000000003E-2</v>
      </c>
      <c r="C91" s="66">
        <f>Output!H91/Output!J91</f>
        <v>0.55763459013318328</v>
      </c>
      <c r="D91" s="49">
        <v>23</v>
      </c>
    </row>
    <row r="92" spans="1:4" x14ac:dyDescent="0.2">
      <c r="A92" s="49">
        <v>19</v>
      </c>
      <c r="B92" s="66">
        <v>0.1</v>
      </c>
      <c r="C92" s="66">
        <f>Output!H92/Output!J92</f>
        <v>0.96259963212752908</v>
      </c>
      <c r="D92" s="49">
        <v>19</v>
      </c>
    </row>
    <row r="93" spans="1:4" x14ac:dyDescent="0.2">
      <c r="A93" s="49">
        <v>20</v>
      </c>
      <c r="B93" s="66"/>
      <c r="C93" s="66">
        <f>Output!H93/Output!J93</f>
        <v>0.9459141681363904</v>
      </c>
      <c r="D93" s="49">
        <v>20</v>
      </c>
    </row>
    <row r="94" spans="1:4" x14ac:dyDescent="0.2">
      <c r="A94" s="49">
        <v>21</v>
      </c>
      <c r="B94" s="66"/>
      <c r="C94" s="66">
        <f>Output!H94/Output!J94</f>
        <v>0.87049608355091379</v>
      </c>
      <c r="D94" s="49">
        <v>21</v>
      </c>
    </row>
    <row r="95" spans="1:4" x14ac:dyDescent="0.2">
      <c r="A95" s="49">
        <v>22</v>
      </c>
      <c r="B95" s="66">
        <v>0.1</v>
      </c>
      <c r="C95" s="66">
        <f>Output!H95/Output!J95</f>
        <v>0.83218707015130677</v>
      </c>
      <c r="D95" s="49">
        <v>22</v>
      </c>
    </row>
    <row r="96" spans="1:4" x14ac:dyDescent="0.2">
      <c r="A96" s="49">
        <v>23</v>
      </c>
      <c r="B96" s="66">
        <v>0.1</v>
      </c>
      <c r="C96" s="66">
        <f>Output!H96/Output!J96</f>
        <v>0.95730550284629978</v>
      </c>
      <c r="D96" s="49">
        <v>23</v>
      </c>
    </row>
    <row r="97" spans="1:4" x14ac:dyDescent="0.2">
      <c r="A97" s="49">
        <v>19</v>
      </c>
      <c r="B97" s="66">
        <v>5.2200000000000003E-2</v>
      </c>
      <c r="C97" s="66">
        <f>Output!H97/Output!J97</f>
        <v>0.26585059635907093</v>
      </c>
      <c r="D97" s="49">
        <v>19</v>
      </c>
    </row>
    <row r="98" spans="1:4" x14ac:dyDescent="0.2">
      <c r="A98" s="49">
        <v>20</v>
      </c>
      <c r="B98" s="66">
        <v>5.3499999999999999E-2</v>
      </c>
      <c r="C98" s="66">
        <f>Output!H98/Output!J98</f>
        <v>0.20463709677419356</v>
      </c>
      <c r="D98" s="49">
        <v>20</v>
      </c>
    </row>
    <row r="99" spans="1:4" x14ac:dyDescent="0.2">
      <c r="A99" s="49">
        <v>21</v>
      </c>
      <c r="B99" s="66">
        <v>6.2700000000000006E-2</v>
      </c>
      <c r="C99" s="66">
        <f>Output!H99/Output!J99</f>
        <v>0.2660176590446004</v>
      </c>
      <c r="D99" s="49">
        <v>21</v>
      </c>
    </row>
    <row r="100" spans="1:4" x14ac:dyDescent="0.2">
      <c r="A100" s="49">
        <v>22</v>
      </c>
      <c r="B100" s="66">
        <v>8.9800000000000005E-2</v>
      </c>
      <c r="C100" s="66">
        <f>Output!H100/Output!J100</f>
        <v>0.3110292613055044</v>
      </c>
      <c r="D100" s="49">
        <v>22</v>
      </c>
    </row>
    <row r="101" spans="1:4" x14ac:dyDescent="0.2">
      <c r="A101" s="49">
        <v>23</v>
      </c>
      <c r="B101" s="66">
        <v>0.11210000000000001</v>
      </c>
      <c r="C101" s="66">
        <f>Output!H101/Output!J101</f>
        <v>0.30902706052468498</v>
      </c>
      <c r="D101" s="49">
        <v>23</v>
      </c>
    </row>
    <row r="102" spans="1:4" x14ac:dyDescent="0.2">
      <c r="A102" s="49">
        <v>19</v>
      </c>
      <c r="B102" s="66">
        <v>0.11</v>
      </c>
      <c r="C102" s="66">
        <f>Output!H102/Output!J102</f>
        <v>0.10332956530675162</v>
      </c>
      <c r="D102" s="49">
        <v>19</v>
      </c>
    </row>
    <row r="103" spans="1:4" x14ac:dyDescent="0.2">
      <c r="A103" s="49">
        <v>20</v>
      </c>
      <c r="B103" s="66">
        <v>0.11</v>
      </c>
      <c r="C103" s="66">
        <f>Output!H103/Output!J103</f>
        <v>0.10111951902145745</v>
      </c>
      <c r="D103" s="49">
        <v>20</v>
      </c>
    </row>
    <row r="104" spans="1:4" x14ac:dyDescent="0.2">
      <c r="A104" s="49">
        <v>21</v>
      </c>
      <c r="B104" s="66">
        <v>0.1</v>
      </c>
      <c r="C104" s="66">
        <f>Output!H104/Output!J104</f>
        <v>9.7400329324883989E-2</v>
      </c>
      <c r="D104" s="49">
        <v>21</v>
      </c>
    </row>
    <row r="105" spans="1:4" x14ac:dyDescent="0.2">
      <c r="A105" s="49">
        <v>22</v>
      </c>
      <c r="B105" s="66">
        <v>0.1</v>
      </c>
      <c r="C105" s="66">
        <f>Output!H105/Output!J105</f>
        <v>7.6057974977780815E-2</v>
      </c>
      <c r="D105" s="49">
        <v>22</v>
      </c>
    </row>
    <row r="106" spans="1:4" x14ac:dyDescent="0.2">
      <c r="A106" s="49">
        <v>23</v>
      </c>
      <c r="B106" s="66">
        <v>9.9400000000000002E-2</v>
      </c>
      <c r="C106" s="66">
        <f>Output!H106/Output!J106</f>
        <v>8.2204490629059199E-2</v>
      </c>
      <c r="D106" s="49">
        <v>23</v>
      </c>
    </row>
    <row r="107" spans="1:4" x14ac:dyDescent="0.2">
      <c r="A107" s="49">
        <v>19</v>
      </c>
      <c r="B107" s="66">
        <v>0.05</v>
      </c>
      <c r="C107" s="66">
        <f>Output!H107/Output!J107</f>
        <v>1.0435700333942411E-2</v>
      </c>
      <c r="D107" s="49">
        <v>19</v>
      </c>
    </row>
    <row r="108" spans="1:4" x14ac:dyDescent="0.2">
      <c r="A108" s="49">
        <v>20</v>
      </c>
      <c r="B108" s="66">
        <v>8.6499999999999994E-2</v>
      </c>
      <c r="C108" s="66">
        <f>Output!H108/Output!J108</f>
        <v>7.5784765546243723E-3</v>
      </c>
      <c r="D108" s="49">
        <v>20</v>
      </c>
    </row>
    <row r="109" spans="1:4" x14ac:dyDescent="0.2">
      <c r="A109" s="49">
        <v>21</v>
      </c>
      <c r="B109" s="66">
        <v>7.7200000000000005E-2</v>
      </c>
      <c r="C109" s="66">
        <f>Output!H109/Output!J109</f>
        <v>7.9487473133887127E-2</v>
      </c>
      <c r="D109" s="49">
        <v>21</v>
      </c>
    </row>
    <row r="110" spans="1:4" x14ac:dyDescent="0.2">
      <c r="A110" s="49">
        <v>22</v>
      </c>
      <c r="B110" s="66">
        <v>9.5399999999999999E-2</v>
      </c>
      <c r="C110" s="66">
        <f>Output!H110/Output!J110</f>
        <v>8.6957822284954092E-2</v>
      </c>
      <c r="D110" s="49">
        <v>22</v>
      </c>
    </row>
    <row r="111" spans="1:4" x14ac:dyDescent="0.2">
      <c r="A111" s="49">
        <v>23</v>
      </c>
      <c r="B111" s="66">
        <v>9.6500000000000002E-2</v>
      </c>
      <c r="C111" s="66">
        <f>Output!H111/Output!J111</f>
        <v>8.1352796720946516E-2</v>
      </c>
      <c r="D111" s="49">
        <v>23</v>
      </c>
    </row>
    <row r="112" spans="1:4" x14ac:dyDescent="0.2">
      <c r="A112" s="49">
        <v>19</v>
      </c>
      <c r="B112" s="66">
        <v>0.129</v>
      </c>
      <c r="C112" s="66">
        <f>Output!H112/Output!J112</f>
        <v>0.36078574259597057</v>
      </c>
      <c r="D112" s="49">
        <v>19</v>
      </c>
    </row>
    <row r="113" spans="1:4" x14ac:dyDescent="0.2">
      <c r="A113" s="49">
        <v>20</v>
      </c>
      <c r="B113" s="66">
        <v>0.1172</v>
      </c>
      <c r="C113" s="66">
        <f>Output!H113/Output!J113</f>
        <v>0.29312915261838435</v>
      </c>
      <c r="D113" s="49">
        <v>20</v>
      </c>
    </row>
    <row r="114" spans="1:4" x14ac:dyDescent="0.2">
      <c r="A114" s="49">
        <v>21</v>
      </c>
      <c r="B114" s="66">
        <v>9.98E-2</v>
      </c>
      <c r="C114" s="66">
        <f>Output!H114/Output!J114</f>
        <v>0</v>
      </c>
      <c r="D114" s="49">
        <v>21</v>
      </c>
    </row>
    <row r="115" spans="1:4" x14ac:dyDescent="0.2">
      <c r="A115" s="49">
        <v>22</v>
      </c>
      <c r="B115" s="66">
        <v>0.122</v>
      </c>
      <c r="C115" s="66">
        <f>Output!H115/Output!J115</f>
        <v>0</v>
      </c>
      <c r="D115" s="49">
        <v>22</v>
      </c>
    </row>
    <row r="116" spans="1:4" x14ac:dyDescent="0.2">
      <c r="A116" s="49">
        <v>23</v>
      </c>
      <c r="B116" s="66">
        <v>0.11260000000000001</v>
      </c>
      <c r="C116" s="66">
        <f>Output!H116/Output!J116</f>
        <v>0</v>
      </c>
      <c r="D116" s="49">
        <v>23</v>
      </c>
    </row>
    <row r="117" spans="1:4" x14ac:dyDescent="0.2">
      <c r="A117" s="49">
        <v>19</v>
      </c>
      <c r="B117" s="66">
        <v>0.09</v>
      </c>
      <c r="C117" s="66">
        <f>Output!H117/Output!J117</f>
        <v>7.7337130995196596E-2</v>
      </c>
      <c r="D117" s="49">
        <v>19</v>
      </c>
    </row>
    <row r="118" spans="1:4" x14ac:dyDescent="0.2">
      <c r="A118" s="49">
        <v>20</v>
      </c>
      <c r="B118" s="66">
        <v>0.09</v>
      </c>
      <c r="C118" s="66">
        <f>Output!H118/Output!J118</f>
        <v>6.744109589041096E-2</v>
      </c>
      <c r="D118" s="49">
        <v>20</v>
      </c>
    </row>
    <row r="119" spans="1:4" x14ac:dyDescent="0.2">
      <c r="A119" s="49">
        <v>21</v>
      </c>
      <c r="B119" s="66">
        <v>0.09</v>
      </c>
      <c r="C119" s="66">
        <f>Output!H119/Output!J119</f>
        <v>6.1985177030294693E-2</v>
      </c>
      <c r="D119" s="49">
        <v>21</v>
      </c>
    </row>
    <row r="120" spans="1:4" x14ac:dyDescent="0.2">
      <c r="A120" s="49">
        <v>22</v>
      </c>
      <c r="B120" s="66">
        <v>0.09</v>
      </c>
      <c r="C120" s="66">
        <f>Output!H120/Output!J120</f>
        <v>5.6507348527722046E-2</v>
      </c>
      <c r="D120" s="49">
        <v>22</v>
      </c>
    </row>
    <row r="121" spans="1:4" x14ac:dyDescent="0.2">
      <c r="A121" s="49">
        <v>23</v>
      </c>
      <c r="B121" s="66">
        <v>0.09</v>
      </c>
      <c r="C121" s="66">
        <f>Output!H121/Output!J121</f>
        <v>5.7442734557832775E-2</v>
      </c>
      <c r="D121" s="49">
        <v>23</v>
      </c>
    </row>
    <row r="122" spans="1:4" x14ac:dyDescent="0.2">
      <c r="A122" s="49">
        <v>19</v>
      </c>
      <c r="B122" s="66">
        <v>0.105</v>
      </c>
      <c r="C122" s="66">
        <f>Output!H122/Output!J122</f>
        <v>1.0397877984084881E-2</v>
      </c>
      <c r="D122" s="49">
        <v>19</v>
      </c>
    </row>
    <row r="123" spans="1:4" x14ac:dyDescent="0.2">
      <c r="A123" s="49">
        <v>20</v>
      </c>
      <c r="B123" s="66">
        <v>0.105</v>
      </c>
      <c r="C123" s="66">
        <f>Output!H123/Output!J123</f>
        <v>4.9263665426340338E-3</v>
      </c>
      <c r="D123" s="49">
        <v>20</v>
      </c>
    </row>
    <row r="124" spans="1:4" x14ac:dyDescent="0.2">
      <c r="A124" s="49">
        <v>21</v>
      </c>
      <c r="B124" s="66">
        <v>0.10299999999999999</v>
      </c>
      <c r="C124" s="66">
        <f>Output!H124/Output!J124</f>
        <v>0.12657937054904664</v>
      </c>
      <c r="D124" s="49">
        <v>21</v>
      </c>
    </row>
    <row r="125" spans="1:4" x14ac:dyDescent="0.2">
      <c r="A125" s="49">
        <v>22</v>
      </c>
      <c r="B125" s="66">
        <v>0.114</v>
      </c>
      <c r="C125" s="66">
        <f>Output!H125/Output!J125</f>
        <v>0.11979541277071845</v>
      </c>
      <c r="D125" s="49">
        <v>22</v>
      </c>
    </row>
    <row r="126" spans="1:4" x14ac:dyDescent="0.2">
      <c r="A126" s="49">
        <v>23</v>
      </c>
      <c r="B126" s="66">
        <v>0.11700000000000001</v>
      </c>
      <c r="C126" s="66">
        <f>Output!H126/Output!J126</f>
        <v>0.10951855935317897</v>
      </c>
      <c r="D126" s="49">
        <v>23</v>
      </c>
    </row>
    <row r="127" spans="1:4" x14ac:dyDescent="0.2">
      <c r="A127" s="49">
        <v>19</v>
      </c>
      <c r="B127" s="66">
        <v>7.0999999999999994E-2</v>
      </c>
      <c r="C127" s="66">
        <f>Output!H127/Output!J127</f>
        <v>1.5630146795560329</v>
      </c>
      <c r="D127" s="49">
        <v>19</v>
      </c>
    </row>
    <row r="128" spans="1:4" x14ac:dyDescent="0.2">
      <c r="A128" s="49">
        <v>20</v>
      </c>
      <c r="B128" s="66">
        <v>7.9000000000000001E-2</v>
      </c>
      <c r="C128" s="66">
        <f>Output!H128/Output!J128</f>
        <v>1.5207514944491887</v>
      </c>
      <c r="D128" s="49">
        <v>20</v>
      </c>
    </row>
    <row r="129" spans="1:4" x14ac:dyDescent="0.2">
      <c r="A129" s="49">
        <v>21</v>
      </c>
      <c r="B129" s="66">
        <v>7.3999999999999996E-2</v>
      </c>
      <c r="C129" s="66">
        <f>Output!H129/Output!J129</f>
        <v>1.3939838591342626</v>
      </c>
      <c r="D129" s="49">
        <v>21</v>
      </c>
    </row>
    <row r="130" spans="1:4" x14ac:dyDescent="0.2">
      <c r="A130" s="49">
        <v>22</v>
      </c>
      <c r="B130" s="66">
        <v>0.109</v>
      </c>
      <c r="C130" s="66">
        <f>Output!H130/Output!J130</f>
        <v>1.3222292590246991</v>
      </c>
      <c r="D130" s="49">
        <v>22</v>
      </c>
    </row>
    <row r="131" spans="1:4" x14ac:dyDescent="0.2">
      <c r="A131" s="49">
        <v>23</v>
      </c>
      <c r="B131" s="66">
        <v>0.106</v>
      </c>
      <c r="C131" s="66">
        <f>Output!H131/Output!J131</f>
        <v>1.3367359338923319</v>
      </c>
      <c r="D131" s="49">
        <v>23</v>
      </c>
    </row>
    <row r="132" spans="1:4" x14ac:dyDescent="0.2">
      <c r="A132" s="49">
        <v>19</v>
      </c>
      <c r="B132" s="66">
        <v>7.4999999999999997E-2</v>
      </c>
      <c r="C132" s="66">
        <f>Output!H132/Output!J132</f>
        <v>1.0125786163522013</v>
      </c>
      <c r="D132" s="49">
        <v>19</v>
      </c>
    </row>
    <row r="133" spans="1:4" x14ac:dyDescent="0.2">
      <c r="A133" s="49">
        <v>20</v>
      </c>
      <c r="B133" s="66">
        <v>0.08</v>
      </c>
      <c r="C133" s="66">
        <f>Output!H133/Output!J133</f>
        <v>0.11185914034179181</v>
      </c>
      <c r="D133" s="49">
        <v>20</v>
      </c>
    </row>
    <row r="134" spans="1:4" x14ac:dyDescent="0.2">
      <c r="A134" s="49">
        <v>21</v>
      </c>
      <c r="B134" s="66">
        <v>0.08</v>
      </c>
      <c r="C134" s="66">
        <f>Output!H134/Output!J134</f>
        <v>0.83887252839713922</v>
      </c>
      <c r="D134" s="49">
        <v>21</v>
      </c>
    </row>
    <row r="135" spans="1:4" x14ac:dyDescent="0.2">
      <c r="A135" s="49">
        <v>22</v>
      </c>
      <c r="B135" s="66">
        <v>0.08</v>
      </c>
      <c r="C135" s="66">
        <f>Output!H135/Output!J135</f>
        <v>0.94104084321475623</v>
      </c>
      <c r="D135" s="49">
        <v>22</v>
      </c>
    </row>
    <row r="136" spans="1:4" x14ac:dyDescent="0.2">
      <c r="A136" s="49">
        <v>23</v>
      </c>
      <c r="B136" s="66">
        <v>9.9000000000000005E-2</v>
      </c>
      <c r="C136" s="66">
        <f>Output!H136/Output!J136</f>
        <v>0.83148039789350492</v>
      </c>
      <c r="D136" s="49">
        <v>23</v>
      </c>
    </row>
    <row r="137" spans="1:4" x14ac:dyDescent="0.2">
      <c r="A137" s="49">
        <v>19</v>
      </c>
      <c r="B137" s="66">
        <v>7.2999999999999995E-2</v>
      </c>
      <c r="C137" s="66">
        <f>Output!H137/Output!J137</f>
        <v>1.2048907249466951</v>
      </c>
      <c r="D137" s="49">
        <v>19</v>
      </c>
    </row>
    <row r="138" spans="1:4" x14ac:dyDescent="0.2">
      <c r="A138" s="49">
        <v>20</v>
      </c>
      <c r="B138" s="66">
        <v>8.7999999999999995E-2</v>
      </c>
      <c r="C138" s="66">
        <f>Output!H138/Output!J138</f>
        <v>1.0193089430894309</v>
      </c>
      <c r="D138" s="49">
        <v>20</v>
      </c>
    </row>
    <row r="139" spans="1:4" x14ac:dyDescent="0.2">
      <c r="A139" s="49">
        <v>21</v>
      </c>
      <c r="B139" s="66">
        <v>8.5999999999999993E-2</v>
      </c>
      <c r="C139" s="66">
        <f>Output!H139/Output!J139</f>
        <v>0.87166962699822381</v>
      </c>
      <c r="D139" s="49">
        <v>21</v>
      </c>
    </row>
    <row r="140" spans="1:4" x14ac:dyDescent="0.2">
      <c r="A140" s="49">
        <v>22</v>
      </c>
      <c r="B140" s="66">
        <v>0.105</v>
      </c>
      <c r="C140" s="66">
        <f>Output!H140/Output!J140</f>
        <v>0.85726387124099956</v>
      </c>
      <c r="D140" s="49">
        <v>22</v>
      </c>
    </row>
    <row r="141" spans="1:4" x14ac:dyDescent="0.2">
      <c r="A141" s="49">
        <v>23</v>
      </c>
      <c r="B141" s="66">
        <v>0.154</v>
      </c>
      <c r="C141" s="66">
        <f>Output!H141/Output!J141</f>
        <v>0.8534519271495129</v>
      </c>
      <c r="D141" s="49">
        <v>23</v>
      </c>
    </row>
    <row r="142" spans="1:4" x14ac:dyDescent="0.2">
      <c r="A142" s="49">
        <v>19</v>
      </c>
      <c r="B142" s="66">
        <v>0.104</v>
      </c>
      <c r="C142" s="66">
        <f>Output!H142/Output!J142</f>
        <v>0.3304532785261774</v>
      </c>
      <c r="D142" s="49">
        <v>19</v>
      </c>
    </row>
    <row r="143" spans="1:4" x14ac:dyDescent="0.2">
      <c r="A143" s="49">
        <v>20</v>
      </c>
      <c r="B143" s="66">
        <v>0.104</v>
      </c>
      <c r="C143" s="66">
        <f>Output!H143/Output!J143</f>
        <v>0.26063214444493582</v>
      </c>
      <c r="D143" s="49">
        <v>20</v>
      </c>
    </row>
    <row r="144" spans="1:4" x14ac:dyDescent="0.2">
      <c r="A144" s="49">
        <v>21</v>
      </c>
      <c r="B144" s="66">
        <v>0.104</v>
      </c>
      <c r="C144" s="66">
        <f>Output!H144/Output!J144</f>
        <v>0.20999300544838756</v>
      </c>
      <c r="D144" s="49">
        <v>21</v>
      </c>
    </row>
    <row r="145" spans="1:4" x14ac:dyDescent="0.2">
      <c r="A145" s="49">
        <v>22</v>
      </c>
      <c r="B145" s="66">
        <v>9.4E-2</v>
      </c>
      <c r="C145" s="66">
        <f>Output!H145/Output!J145</f>
        <v>0.19347815244970606</v>
      </c>
      <c r="D145" s="49">
        <v>22</v>
      </c>
    </row>
    <row r="146" spans="1:4" x14ac:dyDescent="0.2">
      <c r="A146" s="49">
        <v>23</v>
      </c>
      <c r="B146" s="66">
        <v>0.10100000000000001</v>
      </c>
      <c r="C146" s="66">
        <f>Output!H146/Output!J146</f>
        <v>0.17278322252295888</v>
      </c>
      <c r="D146" s="49">
        <v>23</v>
      </c>
    </row>
    <row r="147" spans="1:4" x14ac:dyDescent="0.2">
      <c r="A147" s="49">
        <v>19</v>
      </c>
      <c r="B147" s="66">
        <v>0.108</v>
      </c>
      <c r="C147" s="66">
        <f>Output!H147/Output!J147</f>
        <v>0.93759145657615062</v>
      </c>
      <c r="D147" s="49">
        <v>19</v>
      </c>
    </row>
    <row r="148" spans="1:4" x14ac:dyDescent="0.2">
      <c r="A148" s="49">
        <v>20</v>
      </c>
      <c r="B148" s="66">
        <v>0.108</v>
      </c>
      <c r="C148" s="66">
        <f>Output!H148/Output!J148</f>
        <v>0.72371228076708516</v>
      </c>
      <c r="D148" s="49">
        <v>20</v>
      </c>
    </row>
    <row r="149" spans="1:4" x14ac:dyDescent="0.2">
      <c r="A149" s="49">
        <v>21</v>
      </c>
      <c r="B149" s="66">
        <v>9.0999999999999998E-2</v>
      </c>
      <c r="C149" s="66">
        <f>Output!H149/Output!J149</f>
        <v>0.78873701236451454</v>
      </c>
      <c r="D149" s="49">
        <v>21</v>
      </c>
    </row>
    <row r="150" spans="1:4" x14ac:dyDescent="0.2">
      <c r="A150" s="49">
        <v>22</v>
      </c>
      <c r="B150" s="66">
        <v>0.111</v>
      </c>
      <c r="C150" s="66">
        <f>Output!H150/Output!J150</f>
        <v>0.70555572421524493</v>
      </c>
      <c r="D150" s="49">
        <v>22</v>
      </c>
    </row>
    <row r="151" spans="1:4" x14ac:dyDescent="0.2">
      <c r="A151" s="49">
        <v>23</v>
      </c>
      <c r="B151" s="66">
        <v>0.13100000000000001</v>
      </c>
      <c r="C151" s="66">
        <f>Output!H151/Output!J151</f>
        <v>0.42505481613692508</v>
      </c>
      <c r="D151" s="49">
        <v>23</v>
      </c>
    </row>
    <row r="152" spans="1:4" x14ac:dyDescent="0.2">
      <c r="A152" s="49">
        <v>19</v>
      </c>
      <c r="B152" s="66">
        <v>7.1999999999999995E-2</v>
      </c>
      <c r="C152" s="66">
        <f>Output!H152/Output!J152</f>
        <v>0.57183702644746248</v>
      </c>
      <c r="D152" s="49">
        <v>19</v>
      </c>
    </row>
    <row r="153" spans="1:4" x14ac:dyDescent="0.2">
      <c r="A153" s="49">
        <v>20</v>
      </c>
      <c r="B153" s="66">
        <v>6.5000000000000002E-2</v>
      </c>
      <c r="C153" s="66">
        <f>Output!H153/Output!J153</f>
        <v>0.56161761186886816</v>
      </c>
      <c r="D153" s="49">
        <v>20</v>
      </c>
    </row>
    <row r="154" spans="1:4" x14ac:dyDescent="0.2">
      <c r="A154" s="49">
        <v>21</v>
      </c>
      <c r="B154" s="66">
        <v>6.7000000000000004E-2</v>
      </c>
      <c r="C154" s="66">
        <f>Output!H154/Output!J154</f>
        <v>0.52956810631229234</v>
      </c>
      <c r="D154" s="49">
        <v>21</v>
      </c>
    </row>
    <row r="155" spans="1:4" x14ac:dyDescent="0.2">
      <c r="A155" s="49">
        <v>22</v>
      </c>
      <c r="B155" s="66">
        <v>0.11</v>
      </c>
      <c r="C155" s="66">
        <f>Output!H155/Output!J155</f>
        <v>0.51461754104925916</v>
      </c>
      <c r="D155" s="49">
        <v>22</v>
      </c>
    </row>
    <row r="156" spans="1:4" x14ac:dyDescent="0.2">
      <c r="A156" s="49">
        <v>23</v>
      </c>
      <c r="B156" s="66">
        <v>0.108</v>
      </c>
      <c r="C156" s="66">
        <f>Output!H156/Output!J156</f>
        <v>0.50313848568065911</v>
      </c>
      <c r="D156" s="49">
        <v>23</v>
      </c>
    </row>
    <row r="157" spans="1:4" x14ac:dyDescent="0.2">
      <c r="A157" s="49">
        <v>19</v>
      </c>
      <c r="B157" s="66">
        <v>7.0000000000000007E-2</v>
      </c>
      <c r="C157" s="66">
        <f>Output!H157/Output!J157</f>
        <v>0.57746478873239437</v>
      </c>
      <c r="D157" s="49">
        <v>19</v>
      </c>
    </row>
    <row r="158" spans="1:4" x14ac:dyDescent="0.2">
      <c r="A158" s="49">
        <v>20</v>
      </c>
      <c r="B158" s="66">
        <v>5.6000000000000001E-2</v>
      </c>
      <c r="C158" s="66">
        <f>Output!H158/Output!J158</f>
        <v>0.60824742268041232</v>
      </c>
      <c r="D158" s="49">
        <v>20</v>
      </c>
    </row>
    <row r="159" spans="1:4" x14ac:dyDescent="0.2">
      <c r="A159" s="49">
        <v>21</v>
      </c>
      <c r="B159" s="66">
        <v>7.5999999999999998E-2</v>
      </c>
      <c r="C159" s="66">
        <f>Output!H159/Output!J159</f>
        <v>0.89124487004103969</v>
      </c>
      <c r="D159" s="49">
        <v>21</v>
      </c>
    </row>
    <row r="160" spans="1:4" x14ac:dyDescent="0.2">
      <c r="A160" s="49">
        <v>22</v>
      </c>
      <c r="B160" s="66">
        <v>9.7000000000000003E-2</v>
      </c>
      <c r="C160" s="66">
        <f>Output!H160/Output!J160</f>
        <v>0.70289855072463769</v>
      </c>
      <c r="D160" s="49">
        <v>22</v>
      </c>
    </row>
    <row r="161" spans="1:4" x14ac:dyDescent="0.2">
      <c r="A161" s="49">
        <v>23</v>
      </c>
      <c r="B161" s="66">
        <v>0.1</v>
      </c>
      <c r="C161" s="66">
        <f>Output!H161/Output!J161</f>
        <v>0.65199449793672626</v>
      </c>
      <c r="D161" s="49">
        <v>23</v>
      </c>
    </row>
    <row r="162" spans="1:4" x14ac:dyDescent="0.2">
      <c r="A162" s="49">
        <v>19</v>
      </c>
      <c r="B162" s="66">
        <v>9.4200000000000006E-2</v>
      </c>
      <c r="C162" s="66">
        <f>Output!H162/Output!J162</f>
        <v>0.85423025974773947</v>
      </c>
      <c r="D162" s="49">
        <v>19</v>
      </c>
    </row>
    <row r="163" spans="1:4" x14ac:dyDescent="0.2">
      <c r="A163" s="49">
        <v>20</v>
      </c>
      <c r="B163" s="66">
        <v>8.4099999999999994E-2</v>
      </c>
      <c r="C163" s="66">
        <f>Output!H163/Output!J163</f>
        <v>0.83605950249984573</v>
      </c>
      <c r="D163" s="49">
        <v>20</v>
      </c>
    </row>
    <row r="164" spans="1:4" x14ac:dyDescent="0.2">
      <c r="A164" s="49">
        <v>21</v>
      </c>
      <c r="B164" s="66">
        <v>8.1600000000000006E-2</v>
      </c>
      <c r="C164" s="66">
        <f>Output!H164/Output!J164</f>
        <v>0.91339599946540739</v>
      </c>
      <c r="D164" s="49">
        <v>21</v>
      </c>
    </row>
    <row r="165" spans="1:4" x14ac:dyDescent="0.2">
      <c r="A165" s="49">
        <v>22</v>
      </c>
      <c r="B165" s="66">
        <v>0.12720000000000001</v>
      </c>
      <c r="C165" s="66">
        <f>Output!H165/Output!J165</f>
        <v>0.83611584327086885</v>
      </c>
      <c r="D165" s="49">
        <v>22</v>
      </c>
    </row>
    <row r="166" spans="1:4" x14ac:dyDescent="0.2">
      <c r="A166" s="49">
        <v>23</v>
      </c>
      <c r="B166" s="66">
        <v>9.6000000000000002E-2</v>
      </c>
      <c r="C166" s="66">
        <f>Output!H166/Output!J166</f>
        <v>8.1821329639889201E-4</v>
      </c>
      <c r="D166" s="49">
        <v>23</v>
      </c>
    </row>
    <row r="167" spans="1:4" x14ac:dyDescent="0.2">
      <c r="A167" s="49">
        <v>19</v>
      </c>
      <c r="B167" s="66">
        <v>7.9000000000000001E-2</v>
      </c>
      <c r="C167" s="66">
        <f>Output!H167/Output!J167</f>
        <v>0.80140460397971125</v>
      </c>
      <c r="D167" s="49">
        <v>19</v>
      </c>
    </row>
    <row r="168" spans="1:4" x14ac:dyDescent="0.2">
      <c r="A168" s="49">
        <v>20</v>
      </c>
      <c r="B168" s="66">
        <v>9.4E-2</v>
      </c>
      <c r="C168" s="66">
        <f>Output!H168/Output!J168</f>
        <v>0.79110936270653032</v>
      </c>
      <c r="D168" s="49">
        <v>20</v>
      </c>
    </row>
    <row r="169" spans="1:4" x14ac:dyDescent="0.2">
      <c r="A169" s="49">
        <v>21</v>
      </c>
      <c r="B169" s="66">
        <v>9.7000000000000003E-2</v>
      </c>
      <c r="C169" s="66">
        <f>Output!H169/Output!J169</f>
        <v>0.76484018264840181</v>
      </c>
      <c r="D169" s="49">
        <v>21</v>
      </c>
    </row>
    <row r="170" spans="1:4" x14ac:dyDescent="0.2">
      <c r="A170" s="49">
        <v>22</v>
      </c>
      <c r="B170" s="66">
        <v>0.11600000000000001</v>
      </c>
      <c r="C170" s="66">
        <f>Output!H170/Output!J170</f>
        <v>0.66521332918094056</v>
      </c>
      <c r="D170" s="49">
        <v>22</v>
      </c>
    </row>
    <row r="171" spans="1:4" x14ac:dyDescent="0.2">
      <c r="A171" s="49">
        <v>23</v>
      </c>
      <c r="B171" s="66">
        <v>0.125</v>
      </c>
      <c r="C171" s="66">
        <f>Output!H171/Output!J171</f>
        <v>0.61659848042080656</v>
      </c>
      <c r="D171" s="49">
        <v>23</v>
      </c>
    </row>
    <row r="172" spans="1:4" x14ac:dyDescent="0.2">
      <c r="A172" s="49">
        <v>19</v>
      </c>
      <c r="B172" s="66">
        <v>8.2000000000000003E-2</v>
      </c>
      <c r="C172" s="66">
        <f>Output!H172/Output!J172</f>
        <v>1.5607039791895296</v>
      </c>
      <c r="D172" s="49">
        <v>19</v>
      </c>
    </row>
    <row r="173" spans="1:4" x14ac:dyDescent="0.2">
      <c r="A173" s="49">
        <v>20</v>
      </c>
      <c r="B173" s="66">
        <v>8.2000000000000003E-2</v>
      </c>
      <c r="C173" s="66">
        <f>Output!H173/Output!J173</f>
        <v>1.5094070695553021</v>
      </c>
      <c r="D173" s="49">
        <v>20</v>
      </c>
    </row>
    <row r="174" spans="1:4" x14ac:dyDescent="0.2">
      <c r="A174" s="49">
        <v>21</v>
      </c>
      <c r="B174" s="66">
        <v>8.5000000000000006E-2</v>
      </c>
      <c r="C174" s="66">
        <f>Output!H174/Output!J174</f>
        <v>1.6578350868189204</v>
      </c>
      <c r="D174" s="49">
        <v>21</v>
      </c>
    </row>
    <row r="175" spans="1:4" x14ac:dyDescent="0.2">
      <c r="A175" s="49">
        <v>22</v>
      </c>
      <c r="B175" s="66">
        <v>8.8999999999999996E-2</v>
      </c>
      <c r="C175" s="66">
        <f>Output!H175/Output!J175</f>
        <v>1.5922990698314685</v>
      </c>
      <c r="D175" s="49">
        <v>22</v>
      </c>
    </row>
    <row r="176" spans="1:4" x14ac:dyDescent="0.2">
      <c r="A176" s="49">
        <v>23</v>
      </c>
      <c r="B176" s="66">
        <v>8.8999999999999996E-2</v>
      </c>
      <c r="C176" s="66">
        <f>Output!H176/Output!J176</f>
        <v>1.621396659436813</v>
      </c>
      <c r="D176" s="49">
        <v>23</v>
      </c>
    </row>
    <row r="177" spans="1:4" x14ac:dyDescent="0.2">
      <c r="A177" s="49">
        <v>19</v>
      </c>
      <c r="B177" s="66">
        <v>0.08</v>
      </c>
      <c r="C177" s="66">
        <f>Output!H177/Output!J177</f>
        <v>1.3588463671658347E-2</v>
      </c>
      <c r="D177" s="49">
        <v>19</v>
      </c>
    </row>
    <row r="178" spans="1:4" x14ac:dyDescent="0.2">
      <c r="A178" s="49">
        <v>20</v>
      </c>
      <c r="B178" s="66">
        <v>0.08</v>
      </c>
      <c r="C178" s="66">
        <f>Output!H178/Output!J178</f>
        <v>1.2115949458753843E-2</v>
      </c>
      <c r="D178" s="49">
        <v>20</v>
      </c>
    </row>
    <row r="179" spans="1:4" x14ac:dyDescent="0.2">
      <c r="A179" s="49">
        <v>21</v>
      </c>
      <c r="B179" s="66">
        <v>0.08</v>
      </c>
      <c r="C179" s="66">
        <f>Output!H179/Output!J179</f>
        <v>0.284151151699992</v>
      </c>
      <c r="D179" s="49">
        <v>21</v>
      </c>
    </row>
    <row r="180" spans="1:4" x14ac:dyDescent="0.2">
      <c r="A180" s="49">
        <v>22</v>
      </c>
      <c r="B180" s="66">
        <v>8.7999999999999995E-2</v>
      </c>
      <c r="C180" s="66">
        <f>Output!H180/Output!J180</f>
        <v>0.33947520484138693</v>
      </c>
      <c r="D180" s="49">
        <v>22</v>
      </c>
    </row>
    <row r="181" spans="1:4" x14ac:dyDescent="0.2">
      <c r="A181" s="49">
        <v>23</v>
      </c>
      <c r="B181" s="66">
        <v>0.112</v>
      </c>
      <c r="C181" s="66">
        <f>Output!H181/Output!J181</f>
        <v>0.35522020508423013</v>
      </c>
      <c r="D181" s="49">
        <v>23</v>
      </c>
    </row>
    <row r="182" spans="1:4" x14ac:dyDescent="0.2">
      <c r="A182" s="49">
        <v>19</v>
      </c>
      <c r="B182" s="66">
        <v>8.3000000000000004E-2</v>
      </c>
      <c r="C182" s="66">
        <f>Output!H182/Output!J182</f>
        <v>0.89312207418077061</v>
      </c>
      <c r="D182" s="49">
        <v>19</v>
      </c>
    </row>
    <row r="183" spans="1:4" x14ac:dyDescent="0.2">
      <c r="A183" s="49">
        <v>20</v>
      </c>
      <c r="B183" s="66">
        <v>8.3000000000000004E-2</v>
      </c>
      <c r="C183" s="66">
        <f>Output!H183/Output!J183</f>
        <v>0.83591963976446138</v>
      </c>
      <c r="D183" s="49">
        <v>20</v>
      </c>
    </row>
    <row r="184" spans="1:4" x14ac:dyDescent="0.2">
      <c r="A184" s="49">
        <v>21</v>
      </c>
      <c r="B184" s="66">
        <v>7.0999999999999994E-2</v>
      </c>
      <c r="C184" s="66">
        <f>Output!H184/Output!J184</f>
        <v>1.0086677857469861</v>
      </c>
      <c r="D184" s="49">
        <v>21</v>
      </c>
    </row>
    <row r="185" spans="1:4" x14ac:dyDescent="0.2">
      <c r="A185" s="49">
        <v>22</v>
      </c>
      <c r="B185" s="66">
        <v>7.4999999999999997E-2</v>
      </c>
      <c r="C185" s="66">
        <f>Output!H185/Output!J185</f>
        <v>0.95316574528006681</v>
      </c>
      <c r="D185" s="49">
        <v>22</v>
      </c>
    </row>
    <row r="186" spans="1:4" x14ac:dyDescent="0.2">
      <c r="A186" s="49">
        <v>23</v>
      </c>
      <c r="B186" s="66">
        <v>8.3000000000000004E-2</v>
      </c>
      <c r="C186" s="66">
        <f>Output!H186/Output!J186</f>
        <v>1.1604629340006256</v>
      </c>
      <c r="D186" s="49">
        <v>23</v>
      </c>
    </row>
    <row r="187" spans="1:4" x14ac:dyDescent="0.2">
      <c r="A187" s="49">
        <v>19</v>
      </c>
      <c r="B187" s="66">
        <v>0.08</v>
      </c>
      <c r="C187" s="66">
        <f>Output!H187/Output!J187</f>
        <v>0.77788734130407988</v>
      </c>
      <c r="D187" s="49">
        <v>19</v>
      </c>
    </row>
    <row r="188" spans="1:4" x14ac:dyDescent="0.2">
      <c r="A188" s="49">
        <v>20</v>
      </c>
      <c r="B188" s="66">
        <v>0.08</v>
      </c>
      <c r="C188" s="66">
        <f>Output!H188/Output!J188</f>
        <v>0.72868122483835551</v>
      </c>
      <c r="D188" s="49">
        <v>20</v>
      </c>
    </row>
    <row r="189" spans="1:4" x14ac:dyDescent="0.2">
      <c r="A189" s="49">
        <v>21</v>
      </c>
      <c r="B189" s="66">
        <v>0.08</v>
      </c>
      <c r="C189" s="66">
        <f>Output!H189/Output!J189</f>
        <v>0.72924147217235191</v>
      </c>
      <c r="D189" s="49">
        <v>21</v>
      </c>
    </row>
    <row r="190" spans="1:4" x14ac:dyDescent="0.2">
      <c r="A190" s="49">
        <v>22</v>
      </c>
      <c r="B190" s="66">
        <v>0.08</v>
      </c>
      <c r="C190" s="66">
        <f>Output!H190/Output!J190</f>
        <v>0.71302292116353172</v>
      </c>
      <c r="D190" s="49">
        <v>22</v>
      </c>
    </row>
    <row r="191" spans="1:4" x14ac:dyDescent="0.2">
      <c r="A191" s="49">
        <v>23</v>
      </c>
      <c r="B191" s="66">
        <v>9.7000000000000003E-2</v>
      </c>
      <c r="C191" s="66">
        <f>Output!H191/Output!J191</f>
        <v>0.72851308706144424</v>
      </c>
      <c r="D191" s="49">
        <v>23</v>
      </c>
    </row>
    <row r="192" spans="1:4" x14ac:dyDescent="0.2">
      <c r="A192" s="49">
        <v>19</v>
      </c>
      <c r="B192" s="66">
        <v>0.09</v>
      </c>
      <c r="C192" s="66">
        <f>Output!H192/Output!J192</f>
        <v>0.93759145657615062</v>
      </c>
      <c r="D192" s="49">
        <v>19</v>
      </c>
    </row>
    <row r="193" spans="1:4" x14ac:dyDescent="0.2">
      <c r="A193" s="49">
        <v>20</v>
      </c>
      <c r="B193" s="66">
        <v>0.09</v>
      </c>
      <c r="C193" s="66">
        <f>Output!H193/Output!J193</f>
        <v>0.72371228076708516</v>
      </c>
      <c r="D193" s="49">
        <v>20</v>
      </c>
    </row>
    <row r="194" spans="1:4" x14ac:dyDescent="0.2">
      <c r="A194" s="49">
        <v>21</v>
      </c>
      <c r="B194" s="66">
        <v>0.09</v>
      </c>
      <c r="C194" s="66">
        <f>Output!H194/Output!J194</f>
        <v>0.78873701236451454</v>
      </c>
      <c r="D194" s="49">
        <v>21</v>
      </c>
    </row>
    <row r="195" spans="1:4" x14ac:dyDescent="0.2">
      <c r="A195" s="49">
        <v>22</v>
      </c>
      <c r="B195" s="66">
        <v>0.105</v>
      </c>
      <c r="C195" s="66">
        <f>Output!H195/Output!J195</f>
        <v>0.70555572421524493</v>
      </c>
      <c r="D195" s="49">
        <v>22</v>
      </c>
    </row>
    <row r="196" spans="1:4" x14ac:dyDescent="0.2">
      <c r="A196" s="49">
        <v>23</v>
      </c>
      <c r="B196" s="66">
        <v>0.115</v>
      </c>
      <c r="C196" s="66">
        <f>Output!H196/Output!J196</f>
        <v>0.42505481613692508</v>
      </c>
      <c r="D196" s="49">
        <v>23</v>
      </c>
    </row>
    <row r="197" spans="1:4" x14ac:dyDescent="0.2">
      <c r="A197" s="49">
        <v>19</v>
      </c>
      <c r="B197" s="66">
        <v>0.08</v>
      </c>
      <c r="C197" s="66">
        <f>Output!H197/Output!J197</f>
        <v>9.5997539651157676E-2</v>
      </c>
      <c r="D197" s="49">
        <v>19</v>
      </c>
    </row>
    <row r="198" spans="1:4" x14ac:dyDescent="0.2">
      <c r="A198" s="49">
        <v>20</v>
      </c>
      <c r="B198" s="66">
        <v>0.08</v>
      </c>
      <c r="C198" s="66">
        <f>Output!H198/Output!J198</f>
        <v>8.6481239184569278E-2</v>
      </c>
      <c r="D198" s="49">
        <v>20</v>
      </c>
    </row>
    <row r="199" spans="1:4" x14ac:dyDescent="0.2">
      <c r="A199" s="49">
        <v>21</v>
      </c>
      <c r="B199" s="66">
        <v>0.08</v>
      </c>
      <c r="C199" s="66">
        <f>Output!H199/Output!J199</f>
        <v>0.15892572583466127</v>
      </c>
      <c r="D199" s="49">
        <v>21</v>
      </c>
    </row>
    <row r="200" spans="1:4" x14ac:dyDescent="0.2">
      <c r="A200" s="49">
        <v>22</v>
      </c>
      <c r="B200" s="66">
        <v>0.08</v>
      </c>
      <c r="C200" s="66">
        <f>Output!H200/Output!J200</f>
        <v>0.25060569351907935</v>
      </c>
      <c r="D200" s="49">
        <v>22</v>
      </c>
    </row>
    <row r="201" spans="1:4" x14ac:dyDescent="0.2">
      <c r="A201" s="49">
        <v>23</v>
      </c>
      <c r="B201" s="66">
        <v>0.08</v>
      </c>
      <c r="C201" s="66">
        <f>Output!H201/Output!J201</f>
        <v>0.27760577915376677</v>
      </c>
      <c r="D201" s="49">
        <v>23</v>
      </c>
    </row>
    <row r="202" spans="1:4" x14ac:dyDescent="0.2">
      <c r="A202" s="49">
        <v>19</v>
      </c>
      <c r="B202" s="66">
        <v>0.08</v>
      </c>
      <c r="C202" s="66">
        <f>Output!H202/Output!J202</f>
        <v>0.63890993071593538</v>
      </c>
      <c r="D202" s="49">
        <v>19</v>
      </c>
    </row>
    <row r="203" spans="1:4" x14ac:dyDescent="0.2">
      <c r="A203" s="49">
        <v>20</v>
      </c>
      <c r="B203" s="66"/>
      <c r="C203" s="66">
        <f>Output!H203/Output!J203</f>
        <v>0.59471592581689725</v>
      </c>
      <c r="D203" s="49">
        <v>20</v>
      </c>
    </row>
    <row r="204" spans="1:4" x14ac:dyDescent="0.2">
      <c r="A204" s="49">
        <v>21</v>
      </c>
      <c r="B204" s="66">
        <v>7.5999999999999998E-2</v>
      </c>
      <c r="C204" s="66">
        <f>Output!H204/Output!J204</f>
        <v>0.63137588936767208</v>
      </c>
      <c r="D204" s="49">
        <v>21</v>
      </c>
    </row>
    <row r="205" spans="1:4" x14ac:dyDescent="0.2">
      <c r="A205" s="49">
        <v>22</v>
      </c>
      <c r="B205" s="66">
        <v>0.106</v>
      </c>
      <c r="C205" s="66">
        <f>Output!H205/Output!J205</f>
        <v>0.66501351230956551</v>
      </c>
      <c r="D205" s="49">
        <v>22</v>
      </c>
    </row>
    <row r="206" spans="1:4" x14ac:dyDescent="0.2">
      <c r="A206" s="49">
        <v>23</v>
      </c>
      <c r="B206" s="66">
        <v>0.1187</v>
      </c>
      <c r="C206" s="66">
        <f>Output!H206/Output!J206</f>
        <v>0.55524659119780928</v>
      </c>
      <c r="D206" s="49">
        <v>23</v>
      </c>
    </row>
    <row r="207" spans="1:4" x14ac:dyDescent="0.2">
      <c r="A207" s="49">
        <v>19</v>
      </c>
      <c r="B207" s="66">
        <v>9.6000000000000002E-2</v>
      </c>
      <c r="C207" s="66">
        <f>Output!H207/Output!J207</f>
        <v>0.39317672086956679</v>
      </c>
      <c r="D207" s="49">
        <v>19</v>
      </c>
    </row>
    <row r="208" spans="1:4" x14ac:dyDescent="0.2">
      <c r="A208" s="49">
        <v>20</v>
      </c>
      <c r="B208" s="66">
        <v>9.6000000000000002E-2</v>
      </c>
      <c r="C208" s="66">
        <f>Output!H208/Output!J208</f>
        <v>0.37233649485386489</v>
      </c>
      <c r="D208" s="49">
        <v>20</v>
      </c>
    </row>
    <row r="209" spans="1:4" x14ac:dyDescent="0.2">
      <c r="A209" s="49">
        <v>21</v>
      </c>
      <c r="B209" s="66">
        <v>9.1999999999999998E-2</v>
      </c>
      <c r="C209" s="66">
        <f>Output!H209/Output!J209</f>
        <v>0.33472964096717023</v>
      </c>
      <c r="D209" s="49">
        <v>21</v>
      </c>
    </row>
    <row r="210" spans="1:4" x14ac:dyDescent="0.2">
      <c r="A210" s="49">
        <v>22</v>
      </c>
      <c r="B210" s="66">
        <v>0.113</v>
      </c>
      <c r="C210" s="66">
        <f>Output!H210/Output!J210</f>
        <v>0.28869280110904511</v>
      </c>
      <c r="D210" s="49">
        <v>22</v>
      </c>
    </row>
    <row r="211" spans="1:4" x14ac:dyDescent="0.2">
      <c r="A211" s="49">
        <v>23</v>
      </c>
      <c r="B211" s="66">
        <v>0.114</v>
      </c>
      <c r="C211" s="66">
        <f>Output!H211/Output!J211</f>
        <v>0.28258195118134877</v>
      </c>
      <c r="D211" s="49">
        <v>23</v>
      </c>
    </row>
    <row r="212" spans="1:4" x14ac:dyDescent="0.2">
      <c r="A212" s="49">
        <v>19</v>
      </c>
      <c r="B212" s="66">
        <v>0.1</v>
      </c>
      <c r="C212" s="66">
        <f>Output!H212/Output!J212</f>
        <v>0.54985076813212974</v>
      </c>
      <c r="D212" s="49">
        <v>19</v>
      </c>
    </row>
    <row r="213" spans="1:4" x14ac:dyDescent="0.2">
      <c r="A213" s="49">
        <v>20</v>
      </c>
      <c r="B213" s="66">
        <v>0.1</v>
      </c>
      <c r="C213" s="66">
        <f>Output!H213/Output!J213</f>
        <v>0.49323433488307544</v>
      </c>
      <c r="D213" s="49">
        <v>20</v>
      </c>
    </row>
    <row r="214" spans="1:4" x14ac:dyDescent="0.2">
      <c r="A214" s="49">
        <v>21</v>
      </c>
      <c r="B214" s="66">
        <v>0.1</v>
      </c>
      <c r="C214" s="66">
        <f>Output!H214/Output!J214</f>
        <v>0.46696361092797761</v>
      </c>
      <c r="D214" s="49">
        <v>21</v>
      </c>
    </row>
    <row r="215" spans="1:4" x14ac:dyDescent="0.2">
      <c r="A215" s="49">
        <v>22</v>
      </c>
      <c r="B215" s="66">
        <v>0.1</v>
      </c>
      <c r="C215" s="66">
        <f>Output!H215/Output!J215</f>
        <v>0.4400127864231434</v>
      </c>
      <c r="D215" s="49">
        <v>22</v>
      </c>
    </row>
    <row r="216" spans="1:4" x14ac:dyDescent="0.2">
      <c r="A216" s="49">
        <v>23</v>
      </c>
      <c r="B216" s="66">
        <v>0.1</v>
      </c>
      <c r="C216" s="66">
        <f>Output!H216/Output!J216</f>
        <v>0.429462284767751</v>
      </c>
      <c r="D216" s="49">
        <v>23</v>
      </c>
    </row>
    <row r="217" spans="1:4" x14ac:dyDescent="0.2">
      <c r="A217" s="49">
        <v>19</v>
      </c>
      <c r="B217" s="66">
        <v>8.5999999999999993E-2</v>
      </c>
      <c r="C217" s="66">
        <f>Output!H217/Output!J217</f>
        <v>0.91110460577673691</v>
      </c>
      <c r="D217" s="49">
        <v>19</v>
      </c>
    </row>
    <row r="218" spans="1:4" x14ac:dyDescent="0.2">
      <c r="A218" s="49">
        <v>20</v>
      </c>
      <c r="B218" s="66">
        <v>8.4000000000000005E-2</v>
      </c>
      <c r="C218" s="66">
        <f>Output!H218/Output!J218</f>
        <v>0.82890981735159819</v>
      </c>
      <c r="D218" s="49">
        <v>20</v>
      </c>
    </row>
    <row r="219" spans="1:4" x14ac:dyDescent="0.2">
      <c r="A219" s="49">
        <v>21</v>
      </c>
      <c r="B219" s="66">
        <v>8.7999999999999995E-2</v>
      </c>
      <c r="C219" s="66">
        <f>Output!H219/Output!J219</f>
        <v>0.79522404945654368</v>
      </c>
      <c r="D219" s="49">
        <v>21</v>
      </c>
    </row>
    <row r="220" spans="1:4" x14ac:dyDescent="0.2">
      <c r="A220" s="49">
        <v>22</v>
      </c>
      <c r="B220" s="66">
        <v>9.6000000000000002E-2</v>
      </c>
      <c r="C220" s="66">
        <f>Output!H220/Output!J220</f>
        <v>0.74945069578533852</v>
      </c>
      <c r="D220" s="49">
        <v>22</v>
      </c>
    </row>
    <row r="221" spans="1:4" x14ac:dyDescent="0.2">
      <c r="A221" s="49">
        <v>23</v>
      </c>
      <c r="B221" s="66">
        <v>0.1055</v>
      </c>
      <c r="C221" s="66">
        <f>Output!H221/Output!J221</f>
        <v>0.82440495922561829</v>
      </c>
      <c r="D221" s="49">
        <v>23</v>
      </c>
    </row>
    <row r="222" spans="1:4" x14ac:dyDescent="0.2">
      <c r="A222" s="49">
        <v>19</v>
      </c>
      <c r="B222" s="66">
        <v>0.08</v>
      </c>
      <c r="C222" s="66">
        <f>Output!H222/Output!J222</f>
        <v>9.3648585999072789E-2</v>
      </c>
      <c r="D222" s="49">
        <v>19</v>
      </c>
    </row>
    <row r="223" spans="1:4" x14ac:dyDescent="0.2">
      <c r="A223" s="49">
        <v>20</v>
      </c>
      <c r="B223" s="66">
        <v>0.08</v>
      </c>
      <c r="C223" s="66">
        <f>Output!H223/Output!J223</f>
        <v>0.13639410187667561</v>
      </c>
      <c r="D223" s="49">
        <v>20</v>
      </c>
    </row>
    <row r="224" spans="1:4" x14ac:dyDescent="0.2">
      <c r="A224" s="49">
        <v>21</v>
      </c>
      <c r="B224" s="66">
        <v>0.08</v>
      </c>
      <c r="C224" s="66">
        <f>Output!H224/Output!J224</f>
        <v>0.12597402597402596</v>
      </c>
      <c r="D224" s="49">
        <v>21</v>
      </c>
    </row>
    <row r="225" spans="1:4" x14ac:dyDescent="0.2">
      <c r="A225" s="49">
        <v>22</v>
      </c>
      <c r="B225" s="66">
        <v>8.5999999999999993E-2</v>
      </c>
      <c r="C225" s="66">
        <f>Output!H225/Output!J225</f>
        <v>0.10642447884920152</v>
      </c>
      <c r="D225" s="49">
        <v>22</v>
      </c>
    </row>
    <row r="226" spans="1:4" x14ac:dyDescent="0.2">
      <c r="A226" s="49">
        <v>23</v>
      </c>
      <c r="B226" s="66">
        <v>8.3000000000000004E-2</v>
      </c>
      <c r="C226" s="66">
        <f>Output!H226/Output!J226</f>
        <v>0.11114895549500454</v>
      </c>
      <c r="D226" s="49">
        <v>23</v>
      </c>
    </row>
    <row r="227" spans="1:4" x14ac:dyDescent="0.2">
      <c r="A227" s="49">
        <v>19</v>
      </c>
      <c r="B227" s="66">
        <v>0.14000000000000001</v>
      </c>
      <c r="C227" s="66">
        <f>Output!H227/Output!J227</f>
        <v>1.1214494734444269E-3</v>
      </c>
      <c r="D227" s="49">
        <v>19</v>
      </c>
    </row>
    <row r="228" spans="1:4" x14ac:dyDescent="0.2">
      <c r="A228" s="49">
        <v>20</v>
      </c>
      <c r="B228" s="66">
        <v>0.14000000000000001</v>
      </c>
      <c r="C228" s="66">
        <f>Output!H228/Output!J228</f>
        <v>1.1716676125441664E-3</v>
      </c>
      <c r="D228" s="49">
        <v>20</v>
      </c>
    </row>
    <row r="229" spans="1:4" x14ac:dyDescent="0.2">
      <c r="A229" s="49">
        <v>21</v>
      </c>
      <c r="B229" s="66">
        <v>0.11550000000000001</v>
      </c>
      <c r="C229" s="66">
        <f>Output!H229/Output!J229</f>
        <v>1.0663467626378753E-3</v>
      </c>
      <c r="D229" s="49">
        <v>21</v>
      </c>
    </row>
    <row r="230" spans="1:4" x14ac:dyDescent="0.2">
      <c r="A230" s="49">
        <v>22</v>
      </c>
      <c r="B230" s="66">
        <v>0.115</v>
      </c>
      <c r="C230" s="66">
        <f>Output!H230/Output!J230</f>
        <v>1.260909825245779E-3</v>
      </c>
      <c r="D230" s="49">
        <v>22</v>
      </c>
    </row>
    <row r="231" spans="1:4" x14ac:dyDescent="0.2">
      <c r="A231" s="49">
        <v>23</v>
      </c>
      <c r="B231" s="66">
        <v>0.115</v>
      </c>
      <c r="C231" s="66">
        <f>Output!H231/Output!J231</f>
        <v>2.1317788674004082E-2</v>
      </c>
      <c r="D231" s="49">
        <v>23</v>
      </c>
    </row>
    <row r="232" spans="1:4" x14ac:dyDescent="0.2">
      <c r="A232" s="49">
        <v>19</v>
      </c>
      <c r="B232" s="66">
        <v>0.09</v>
      </c>
      <c r="C232" s="66">
        <f>Output!H232/Output!J232</f>
        <v>0.89411644116441169</v>
      </c>
      <c r="D232" s="49">
        <v>19</v>
      </c>
    </row>
    <row r="233" spans="1:4" x14ac:dyDescent="0.2">
      <c r="A233" s="49">
        <v>20</v>
      </c>
      <c r="B233" s="66">
        <v>9.1999999999999998E-2</v>
      </c>
      <c r="C233" s="66">
        <f>Output!H233/Output!J233</f>
        <v>0.86795138508704694</v>
      </c>
      <c r="D233" s="49">
        <v>20</v>
      </c>
    </row>
    <row r="234" spans="1:4" x14ac:dyDescent="0.2">
      <c r="A234" s="49">
        <v>21</v>
      </c>
      <c r="B234" s="66">
        <v>9.6000000000000002E-2</v>
      </c>
      <c r="C234" s="66">
        <f>Output!H234/Output!J234</f>
        <v>0.83467811158798288</v>
      </c>
      <c r="D234" s="49">
        <v>21</v>
      </c>
    </row>
    <row r="235" spans="1:4" x14ac:dyDescent="0.2">
      <c r="A235" s="49">
        <v>22</v>
      </c>
      <c r="B235" s="66">
        <v>0.11</v>
      </c>
      <c r="C235" s="66">
        <f>Output!H235/Output!J235</f>
        <v>0.92089779908476788</v>
      </c>
      <c r="D235" s="49">
        <v>22</v>
      </c>
    </row>
    <row r="236" spans="1:4" x14ac:dyDescent="0.2">
      <c r="A236" s="49">
        <v>23</v>
      </c>
      <c r="B236" s="66">
        <v>8.4000000000000005E-2</v>
      </c>
      <c r="C236" s="66">
        <f>Output!H236/Output!J236</f>
        <v>0.85758386499279682</v>
      </c>
      <c r="D236" s="49">
        <v>23</v>
      </c>
    </row>
    <row r="237" spans="1:4" x14ac:dyDescent="0.2">
      <c r="A237" s="49">
        <v>19</v>
      </c>
      <c r="B237" s="66">
        <v>0.156</v>
      </c>
      <c r="C237" s="66">
        <f>Output!H237/Output!J237</f>
        <v>0.70507634034909605</v>
      </c>
      <c r="D237" s="49">
        <v>19</v>
      </c>
    </row>
    <row r="238" spans="1:4" x14ac:dyDescent="0.2">
      <c r="A238" s="49">
        <v>20</v>
      </c>
      <c r="B238" s="66">
        <v>0.155</v>
      </c>
      <c r="C238" s="66">
        <f>Output!H238/Output!J238</f>
        <v>0.66894064176630585</v>
      </c>
      <c r="D238" s="49">
        <v>20</v>
      </c>
    </row>
    <row r="239" spans="1:4" x14ac:dyDescent="0.2">
      <c r="A239" s="49">
        <v>21</v>
      </c>
      <c r="B239" s="66">
        <v>0.14299999999999999</v>
      </c>
      <c r="C239" s="66">
        <f>Output!H239/Output!J239</f>
        <v>0.59516118399367135</v>
      </c>
      <c r="D239" s="49">
        <v>21</v>
      </c>
    </row>
    <row r="240" spans="1:4" x14ac:dyDescent="0.2">
      <c r="A240" s="49">
        <v>22</v>
      </c>
      <c r="B240" s="66">
        <v>0.14699999999999999</v>
      </c>
      <c r="C240" s="66">
        <f>Output!H240/Output!J240</f>
        <v>0.63013889858309491</v>
      </c>
      <c r="D240" s="49">
        <v>22</v>
      </c>
    </row>
    <row r="241" spans="1:4" x14ac:dyDescent="0.2">
      <c r="A241" s="49">
        <v>23</v>
      </c>
      <c r="B241" s="66">
        <v>0.161</v>
      </c>
      <c r="C241" s="66">
        <f>Output!H241/Output!J241</f>
        <v>0.71673547157827877</v>
      </c>
      <c r="D241" s="49">
        <v>23</v>
      </c>
    </row>
    <row r="242" spans="1:4" x14ac:dyDescent="0.2">
      <c r="A242" s="49">
        <v>19</v>
      </c>
      <c r="B242" s="66">
        <v>8.7999999999999995E-2</v>
      </c>
      <c r="C242" s="66">
        <f>Output!H242/Output!J242</f>
        <v>0.88355485867070649</v>
      </c>
      <c r="D242" s="49">
        <v>19</v>
      </c>
    </row>
    <row r="243" spans="1:4" x14ac:dyDescent="0.2">
      <c r="A243" s="49">
        <v>20</v>
      </c>
      <c r="B243" s="66">
        <v>0.10199999999999999</v>
      </c>
      <c r="C243" s="66">
        <f>Output!H243/Output!J243</f>
        <v>0.96138032579631327</v>
      </c>
      <c r="D243" s="49">
        <v>20</v>
      </c>
    </row>
    <row r="244" spans="1:4" x14ac:dyDescent="0.2">
      <c r="A244" s="49">
        <v>21</v>
      </c>
      <c r="B244" s="66">
        <v>0.10199999999999999</v>
      </c>
      <c r="C244" s="66">
        <f>Output!H244/Output!J244</f>
        <v>0.93970522523774636</v>
      </c>
      <c r="D244" s="49">
        <v>21</v>
      </c>
    </row>
    <row r="245" spans="1:4" x14ac:dyDescent="0.2">
      <c r="A245" s="49">
        <v>22</v>
      </c>
      <c r="B245" s="66">
        <v>0.1</v>
      </c>
      <c r="C245" s="66">
        <f>Output!H245/Output!J245</f>
        <v>0.97712717291857276</v>
      </c>
      <c r="D245" s="49">
        <v>22</v>
      </c>
    </row>
    <row r="246" spans="1:4" x14ac:dyDescent="0.2">
      <c r="A246" s="49">
        <v>23</v>
      </c>
      <c r="B246" s="66">
        <v>0.115</v>
      </c>
      <c r="C246" s="66">
        <f>Output!H246/Output!J246</f>
        <v>0.10725467146714672</v>
      </c>
      <c r="D246" s="49">
        <v>23</v>
      </c>
    </row>
    <row r="247" spans="1:4" x14ac:dyDescent="0.2">
      <c r="A247" s="49">
        <v>19</v>
      </c>
      <c r="B247" s="66">
        <v>0.156</v>
      </c>
      <c r="C247" s="66">
        <f>Output!H247/Output!J247</f>
        <v>0.4477715877437326</v>
      </c>
      <c r="D247" s="49">
        <v>19</v>
      </c>
    </row>
    <row r="248" spans="1:4" x14ac:dyDescent="0.2">
      <c r="A248" s="49">
        <v>20</v>
      </c>
      <c r="B248" s="66">
        <v>0.127</v>
      </c>
      <c r="C248" s="66">
        <f>Output!H248/Output!J248</f>
        <v>0.39597558253211912</v>
      </c>
      <c r="D248" s="49">
        <v>20</v>
      </c>
    </row>
    <row r="249" spans="1:4" x14ac:dyDescent="0.2">
      <c r="A249" s="49">
        <v>21</v>
      </c>
      <c r="B249" s="66">
        <v>0.123</v>
      </c>
      <c r="C249" s="66">
        <f>Output!H249/Output!J249</f>
        <v>0.23718957432555873</v>
      </c>
      <c r="D249" s="49">
        <v>21</v>
      </c>
    </row>
    <row r="250" spans="1:4" x14ac:dyDescent="0.2">
      <c r="A250" s="49">
        <v>22</v>
      </c>
      <c r="B250" s="66">
        <v>0.156</v>
      </c>
      <c r="C250" s="66">
        <f>Output!H250/Output!J250</f>
        <v>0.38450978975507549</v>
      </c>
      <c r="D250" s="49">
        <v>22</v>
      </c>
    </row>
    <row r="251" spans="1:4" x14ac:dyDescent="0.2">
      <c r="A251" s="49">
        <v>23</v>
      </c>
      <c r="B251" s="66">
        <v>0.13500000000000001</v>
      </c>
      <c r="C251" s="66">
        <f>Output!H251/Output!J251</f>
        <v>0.60035273368606701</v>
      </c>
      <c r="D251" s="49">
        <v>23</v>
      </c>
    </row>
    <row r="252" spans="1:4" x14ac:dyDescent="0.2">
      <c r="A252" s="49">
        <v>19</v>
      </c>
      <c r="B252" s="66">
        <v>7.6999999999999999E-2</v>
      </c>
      <c r="C252" s="66">
        <f>Output!H252/Output!J252</f>
        <v>1.7062171628721541</v>
      </c>
      <c r="D252" s="49">
        <v>19</v>
      </c>
    </row>
    <row r="253" spans="1:4" x14ac:dyDescent="0.2">
      <c r="A253" s="49">
        <v>20</v>
      </c>
      <c r="B253" s="66">
        <v>7.8E-2</v>
      </c>
      <c r="C253" s="66">
        <f>Output!H253/Output!J253</f>
        <v>1.6206457094307563</v>
      </c>
      <c r="D253" s="49">
        <v>20</v>
      </c>
    </row>
    <row r="254" spans="1:4" x14ac:dyDescent="0.2">
      <c r="A254" s="49">
        <v>21</v>
      </c>
      <c r="B254" s="66">
        <v>7.1999999999999995E-2</v>
      </c>
      <c r="C254" s="66">
        <f>Output!H254/Output!J254</f>
        <v>1.6247551899725812</v>
      </c>
      <c r="D254" s="49">
        <v>21</v>
      </c>
    </row>
    <row r="255" spans="1:4" x14ac:dyDescent="0.2">
      <c r="A255" s="49">
        <v>22</v>
      </c>
      <c r="B255" s="66">
        <v>9.2999999999999999E-2</v>
      </c>
      <c r="C255" s="66">
        <f>Output!H255/Output!J255</f>
        <v>1.6097115735669953</v>
      </c>
      <c r="D255" s="49">
        <v>22</v>
      </c>
    </row>
    <row r="256" spans="1:4" x14ac:dyDescent="0.2">
      <c r="A256" s="49">
        <v>23</v>
      </c>
      <c r="B256" s="66">
        <v>9.8000000000000004E-2</v>
      </c>
      <c r="C256" s="66">
        <f>Output!H256/Output!J256</f>
        <v>1.5247661932802217</v>
      </c>
      <c r="D256" s="49">
        <v>23</v>
      </c>
    </row>
    <row r="257" spans="1:4" x14ac:dyDescent="0.2">
      <c r="A257" s="49">
        <v>19</v>
      </c>
      <c r="B257" s="66">
        <v>0.11</v>
      </c>
      <c r="C257" s="66">
        <f>Output!H257/Output!J257</f>
        <v>0.42462820438632026</v>
      </c>
      <c r="D257" s="49">
        <v>19</v>
      </c>
    </row>
    <row r="258" spans="1:4" x14ac:dyDescent="0.2">
      <c r="A258" s="49">
        <v>20</v>
      </c>
      <c r="B258" s="66">
        <v>0.11</v>
      </c>
      <c r="C258" s="66">
        <f>Output!H258/Output!J258</f>
        <v>0.40477167477577819</v>
      </c>
      <c r="D258" s="49">
        <v>20</v>
      </c>
    </row>
    <row r="259" spans="1:4" x14ac:dyDescent="0.2">
      <c r="A259" s="49">
        <v>21</v>
      </c>
      <c r="B259" s="66">
        <v>0.1</v>
      </c>
      <c r="C259" s="66">
        <f>Output!H259/Output!J259</f>
        <v>0.43012989414320713</v>
      </c>
      <c r="D259" s="49">
        <v>21</v>
      </c>
    </row>
    <row r="260" spans="1:4" x14ac:dyDescent="0.2">
      <c r="A260" s="49">
        <v>22</v>
      </c>
      <c r="B260" s="66">
        <v>0.11</v>
      </c>
      <c r="C260" s="66">
        <f>Output!H260/Output!J260</f>
        <v>0.42442296475293728</v>
      </c>
      <c r="D260" s="49">
        <v>22</v>
      </c>
    </row>
    <row r="261" spans="1:4" x14ac:dyDescent="0.2">
      <c r="A261" s="49">
        <v>23</v>
      </c>
      <c r="B261" s="66">
        <v>0.11</v>
      </c>
      <c r="C261" s="66">
        <f>Output!H261/Output!J261</f>
        <v>0.41733277240218764</v>
      </c>
      <c r="D261" s="49">
        <v>23</v>
      </c>
    </row>
    <row r="262" spans="1:4" x14ac:dyDescent="0.2">
      <c r="A262" s="49">
        <v>20</v>
      </c>
      <c r="B262" s="66">
        <v>0.108</v>
      </c>
      <c r="C262" s="66">
        <f>Output!H262/Output!J262</f>
        <v>0.14383742412245976</v>
      </c>
      <c r="D262" s="49">
        <v>20</v>
      </c>
    </row>
    <row r="263" spans="1:4" x14ac:dyDescent="0.2">
      <c r="A263" s="49">
        <v>21</v>
      </c>
      <c r="B263" s="66">
        <v>0.108</v>
      </c>
      <c r="C263" s="66">
        <f>Output!H263/Output!J263</f>
        <v>0.13053892215568863</v>
      </c>
      <c r="D263" s="49">
        <v>21</v>
      </c>
    </row>
    <row r="264" spans="1:4" x14ac:dyDescent="0.2">
      <c r="A264" s="49">
        <v>22</v>
      </c>
      <c r="B264" s="66">
        <v>0.112</v>
      </c>
      <c r="C264" s="66">
        <f>Output!H264/Output!J264</f>
        <v>0.11019607843137255</v>
      </c>
      <c r="D264" s="49">
        <v>22</v>
      </c>
    </row>
    <row r="265" spans="1:4" x14ac:dyDescent="0.2">
      <c r="A265" s="49">
        <v>23</v>
      </c>
      <c r="B265" s="66">
        <v>0.125</v>
      </c>
      <c r="C265" s="66">
        <f>Output!H265/Output!J265</f>
        <v>8.0510827318156578E-2</v>
      </c>
      <c r="D265" s="49">
        <v>23</v>
      </c>
    </row>
    <row r="266" spans="1:4" x14ac:dyDescent="0.2">
      <c r="A266" s="49">
        <v>19</v>
      </c>
      <c r="B266" s="66">
        <v>0.09</v>
      </c>
      <c r="C266" s="66">
        <f>Output!H266/Output!J266</f>
        <v>0.56322481486656417</v>
      </c>
      <c r="D266" s="49">
        <v>19</v>
      </c>
    </row>
    <row r="267" spans="1:4" x14ac:dyDescent="0.2">
      <c r="A267" s="49">
        <v>20</v>
      </c>
      <c r="B267" s="66">
        <v>0.08</v>
      </c>
      <c r="C267" s="66">
        <f>Output!H267/Output!J267</f>
        <v>0.49930426716141002</v>
      </c>
      <c r="D267" s="49">
        <v>20</v>
      </c>
    </row>
    <row r="268" spans="1:4" x14ac:dyDescent="0.2">
      <c r="A268" s="49">
        <v>21</v>
      </c>
      <c r="B268" s="66">
        <v>0.08</v>
      </c>
      <c r="C268" s="66">
        <f>Output!H268/Output!J268</f>
        <v>0.5284687135639331</v>
      </c>
      <c r="D268" s="49">
        <v>21</v>
      </c>
    </row>
    <row r="269" spans="1:4" x14ac:dyDescent="0.2">
      <c r="A269" s="49">
        <v>22</v>
      </c>
      <c r="B269" s="66">
        <v>0.09</v>
      </c>
      <c r="C269" s="66">
        <f>Output!H269/Output!J269</f>
        <v>0.59949839329101029</v>
      </c>
      <c r="D269" s="49">
        <v>22</v>
      </c>
    </row>
    <row r="270" spans="1:4" x14ac:dyDescent="0.2">
      <c r="A270" s="49">
        <v>23</v>
      </c>
      <c r="B270" s="66">
        <v>0.09</v>
      </c>
      <c r="C270" s="66">
        <f>Output!H270/Output!J270</f>
        <v>0.57139896373056998</v>
      </c>
      <c r="D270" s="49">
        <v>23</v>
      </c>
    </row>
    <row r="271" spans="1:4" x14ac:dyDescent="0.2">
      <c r="A271" s="49">
        <v>19</v>
      </c>
      <c r="B271" s="66">
        <v>0.1</v>
      </c>
      <c r="C271" s="66">
        <f>Output!H271/Output!J271</f>
        <v>0.38112264513648597</v>
      </c>
      <c r="D271" s="49">
        <v>19</v>
      </c>
    </row>
    <row r="272" spans="1:4" x14ac:dyDescent="0.2">
      <c r="A272" s="49">
        <v>20</v>
      </c>
      <c r="B272" s="66">
        <v>9.7100000000000006E-2</v>
      </c>
      <c r="C272" s="66">
        <f>Output!H272/Output!J272</f>
        <v>0.34620015825506589</v>
      </c>
      <c r="D272" s="49">
        <v>20</v>
      </c>
    </row>
    <row r="273" spans="1:4" x14ac:dyDescent="0.2">
      <c r="A273" s="49">
        <v>21</v>
      </c>
      <c r="B273" s="66">
        <v>8.4900000000000003E-2</v>
      </c>
      <c r="C273" s="66">
        <f>Output!H273/Output!J273</f>
        <v>0.38874275029315752</v>
      </c>
      <c r="D273" s="49">
        <v>21</v>
      </c>
    </row>
    <row r="274" spans="1:4" x14ac:dyDescent="0.2">
      <c r="A274" s="49">
        <v>22</v>
      </c>
      <c r="B274" s="66">
        <v>0.1043</v>
      </c>
      <c r="C274" s="66">
        <f>Output!H274/Output!J274</f>
        <v>0.37991519397403145</v>
      </c>
      <c r="D274" s="49">
        <v>22</v>
      </c>
    </row>
    <row r="275" spans="1:4" x14ac:dyDescent="0.2">
      <c r="A275" s="49">
        <v>23</v>
      </c>
      <c r="B275" s="66">
        <v>9.6699999999999994E-2</v>
      </c>
      <c r="C275" s="66">
        <f>Output!H275/Output!J275</f>
        <v>0.35349998775800012</v>
      </c>
      <c r="D275" s="49">
        <v>23</v>
      </c>
    </row>
    <row r="276" spans="1:4" x14ac:dyDescent="0.2">
      <c r="A276" s="49">
        <v>19</v>
      </c>
      <c r="B276" s="66">
        <v>0.08</v>
      </c>
      <c r="C276" s="66">
        <f>Output!H276/Output!J276</f>
        <v>1.1486915986863016</v>
      </c>
      <c r="D276" s="49">
        <v>19</v>
      </c>
    </row>
    <row r="277" spans="1:4" x14ac:dyDescent="0.2">
      <c r="A277" s="49">
        <v>20</v>
      </c>
      <c r="B277" s="66">
        <v>8.1000000000000003E-2</v>
      </c>
      <c r="C277" s="66">
        <f>Output!H277/Output!J277</f>
        <v>1.0438277696214109</v>
      </c>
      <c r="D277" s="49">
        <v>20</v>
      </c>
    </row>
    <row r="278" spans="1:4" x14ac:dyDescent="0.2">
      <c r="A278" s="49">
        <v>21</v>
      </c>
      <c r="B278" s="66">
        <v>8.1000000000000003E-2</v>
      </c>
      <c r="C278" s="66">
        <f>Output!H278/Output!J278</f>
        <v>0.92949311733913531</v>
      </c>
      <c r="D278" s="49">
        <v>21</v>
      </c>
    </row>
    <row r="279" spans="1:4" x14ac:dyDescent="0.2">
      <c r="A279" s="49">
        <v>22</v>
      </c>
      <c r="B279" s="66">
        <v>8.7999999999999995E-2</v>
      </c>
      <c r="C279" s="66">
        <f>Output!H279/Output!J279</f>
        <v>0.91405777374470665</v>
      </c>
      <c r="D279" s="49">
        <v>22</v>
      </c>
    </row>
    <row r="280" spans="1:4" x14ac:dyDescent="0.2">
      <c r="A280" s="49">
        <v>23</v>
      </c>
      <c r="B280" s="66">
        <v>9.2999999999999999E-2</v>
      </c>
      <c r="C280" s="66">
        <f>Output!H280/Output!J280</f>
        <v>0.95366810065862107</v>
      </c>
      <c r="D280" s="49">
        <v>23</v>
      </c>
    </row>
    <row r="281" spans="1:4" x14ac:dyDescent="0.2">
      <c r="A281" s="49">
        <v>19</v>
      </c>
      <c r="B281" s="66">
        <v>0.08</v>
      </c>
      <c r="C281" s="66">
        <f>Output!H281/Output!J281</f>
        <v>2.6101599775470108E-2</v>
      </c>
      <c r="D281" s="49">
        <v>19</v>
      </c>
    </row>
    <row r="282" spans="1:4" x14ac:dyDescent="0.2">
      <c r="A282" s="49">
        <v>20</v>
      </c>
      <c r="B282" s="66">
        <v>0.08</v>
      </c>
      <c r="C282" s="66">
        <f>Output!H282/Output!J282</f>
        <v>2.2111081863648328E-2</v>
      </c>
      <c r="D282" s="49">
        <v>20</v>
      </c>
    </row>
    <row r="283" spans="1:4" x14ac:dyDescent="0.2">
      <c r="A283" s="49">
        <v>21</v>
      </c>
      <c r="B283" s="66">
        <v>0.08</v>
      </c>
      <c r="C283" s="66">
        <f>Output!H283/Output!J283</f>
        <v>2.1466905187835419E-2</v>
      </c>
      <c r="D283" s="49">
        <v>21</v>
      </c>
    </row>
    <row r="284" spans="1:4" x14ac:dyDescent="0.2">
      <c r="A284" s="49">
        <v>22</v>
      </c>
      <c r="B284" s="66">
        <v>0.08</v>
      </c>
      <c r="C284" s="66">
        <f>Output!H284/Output!J284</f>
        <v>2.510028653295129E-2</v>
      </c>
      <c r="D284" s="49">
        <v>22</v>
      </c>
    </row>
    <row r="285" spans="1:4" x14ac:dyDescent="0.2">
      <c r="A285" s="49">
        <v>23</v>
      </c>
      <c r="B285" s="66">
        <v>0.08</v>
      </c>
      <c r="C285" s="66">
        <f>Output!H285/Output!J285</f>
        <v>2.7220270948319115E-2</v>
      </c>
      <c r="D285" s="49">
        <v>23</v>
      </c>
    </row>
    <row r="286" spans="1:4" x14ac:dyDescent="0.2">
      <c r="A286" s="49">
        <v>19</v>
      </c>
      <c r="B286" s="66">
        <v>8.7999999999999995E-2</v>
      </c>
      <c r="C286" s="66">
        <f>Output!H286/Output!J286</f>
        <v>0.78149911923112714</v>
      </c>
      <c r="D286" s="49">
        <v>19</v>
      </c>
    </row>
    <row r="287" spans="1:4" x14ac:dyDescent="0.2">
      <c r="A287" s="49">
        <v>20</v>
      </c>
      <c r="B287" s="66">
        <v>9.1999999999999998E-2</v>
      </c>
      <c r="C287" s="66">
        <f>Output!H287/Output!J287</f>
        <v>0.78432430560953958</v>
      </c>
      <c r="D287" s="49">
        <v>20</v>
      </c>
    </row>
    <row r="288" spans="1:4" x14ac:dyDescent="0.2">
      <c r="A288" s="49">
        <v>21</v>
      </c>
      <c r="B288" s="66">
        <v>9.7000000000000003E-2</v>
      </c>
      <c r="C288" s="66">
        <f>Output!H288/Output!J288</f>
        <v>0.8033027007142749</v>
      </c>
      <c r="D288" s="49">
        <v>21</v>
      </c>
    </row>
    <row r="289" spans="1:4" x14ac:dyDescent="0.2">
      <c r="A289" s="49">
        <v>22</v>
      </c>
      <c r="B289" s="66">
        <v>0.114</v>
      </c>
      <c r="C289" s="66">
        <f>Output!H289/Output!J289</f>
        <v>0.89683478842456021</v>
      </c>
      <c r="D289" s="49">
        <v>22</v>
      </c>
    </row>
    <row r="290" spans="1:4" x14ac:dyDescent="0.2">
      <c r="A290" s="49">
        <v>23</v>
      </c>
      <c r="B290" s="66">
        <v>0.128</v>
      </c>
      <c r="C290" s="66">
        <f>Output!H290/Output!J290</f>
        <v>0.90062164023017355</v>
      </c>
      <c r="D290" s="49">
        <v>23</v>
      </c>
    </row>
    <row r="291" spans="1:4" x14ac:dyDescent="0.2">
      <c r="A291" s="49">
        <v>19</v>
      </c>
      <c r="B291" s="66">
        <v>0.08</v>
      </c>
      <c r="C291" s="66">
        <f>Output!H291/Output!J291</f>
        <v>1.0222178432435095E-3</v>
      </c>
      <c r="D291" s="49">
        <v>19</v>
      </c>
    </row>
    <row r="292" spans="1:4" x14ac:dyDescent="0.2">
      <c r="A292" s="49">
        <v>20</v>
      </c>
      <c r="B292" s="66">
        <v>0.08</v>
      </c>
      <c r="C292" s="66">
        <f>Output!H292/Output!J292</f>
        <v>5.1377093792521001E-3</v>
      </c>
      <c r="D292" s="49">
        <v>20</v>
      </c>
    </row>
    <row r="293" spans="1:4" x14ac:dyDescent="0.2">
      <c r="A293" s="49">
        <v>21</v>
      </c>
      <c r="B293" s="66">
        <v>0.08</v>
      </c>
      <c r="C293" s="66">
        <f>Output!H293/Output!J293</f>
        <v>4.4286001205061255E-3</v>
      </c>
      <c r="D293" s="49">
        <v>21</v>
      </c>
    </row>
    <row r="294" spans="1:4" x14ac:dyDescent="0.2">
      <c r="A294" s="49">
        <v>22</v>
      </c>
      <c r="B294" s="66">
        <v>0.08</v>
      </c>
      <c r="C294" s="66">
        <f>Output!H294/Output!J294</f>
        <v>4.417996573798575E-3</v>
      </c>
      <c r="D294" s="49">
        <v>22</v>
      </c>
    </row>
    <row r="295" spans="1:4" x14ac:dyDescent="0.2">
      <c r="A295" s="49">
        <v>23</v>
      </c>
      <c r="B295" s="66">
        <v>0.08</v>
      </c>
      <c r="C295" s="66">
        <f>Output!H295/Output!J295</f>
        <v>4.0985130111524165E-3</v>
      </c>
      <c r="D295" s="49">
        <v>23</v>
      </c>
    </row>
    <row r="296" spans="1:4" x14ac:dyDescent="0.2">
      <c r="A296" s="49">
        <v>19</v>
      </c>
      <c r="B296" s="66">
        <v>9.1999999999999998E-2</v>
      </c>
      <c r="C296" s="66">
        <f>Output!H296/Output!J296</f>
        <v>0.9245735944409349</v>
      </c>
      <c r="D296" s="49">
        <v>19</v>
      </c>
    </row>
    <row r="297" spans="1:4" x14ac:dyDescent="0.2">
      <c r="A297" s="49">
        <v>20</v>
      </c>
      <c r="B297" s="66">
        <v>9.8000000000000004E-2</v>
      </c>
      <c r="C297" s="66">
        <f>Output!H297/Output!J297</f>
        <v>0.87810540979800322</v>
      </c>
      <c r="D297" s="49">
        <v>20</v>
      </c>
    </row>
    <row r="298" spans="1:4" x14ac:dyDescent="0.2">
      <c r="A298" s="49">
        <v>21</v>
      </c>
      <c r="B298" s="66">
        <v>9.5000000000000001E-2</v>
      </c>
      <c r="C298" s="66">
        <f>Output!H298/Output!J298</f>
        <v>0.89826209488022546</v>
      </c>
      <c r="D298" s="49">
        <v>21</v>
      </c>
    </row>
    <row r="299" spans="1:4" x14ac:dyDescent="0.2">
      <c r="A299" s="49">
        <v>22</v>
      </c>
      <c r="B299" s="66">
        <v>0.122</v>
      </c>
      <c r="C299" s="66">
        <f>Output!H299/Output!J299</f>
        <v>0.84959963740746336</v>
      </c>
      <c r="D299" s="49">
        <v>22</v>
      </c>
    </row>
    <row r="300" spans="1:4" x14ac:dyDescent="0.2">
      <c r="A300" s="49">
        <v>23</v>
      </c>
      <c r="B300" s="66">
        <v>0.125</v>
      </c>
      <c r="C300" s="66">
        <f>Output!H300/Output!J300</f>
        <v>0.87135156455429918</v>
      </c>
      <c r="D300" s="49">
        <v>23</v>
      </c>
    </row>
    <row r="301" spans="1:4" x14ac:dyDescent="0.2">
      <c r="A301" s="49">
        <v>19</v>
      </c>
      <c r="B301" s="66">
        <v>8.5000000000000006E-2</v>
      </c>
      <c r="C301" s="66">
        <f>Output!H301/Output!J301</f>
        <v>1.0165532516356537</v>
      </c>
      <c r="D301" s="49">
        <v>19</v>
      </c>
    </row>
    <row r="302" spans="1:4" x14ac:dyDescent="0.2">
      <c r="A302" s="49">
        <v>20</v>
      </c>
      <c r="B302" s="66">
        <v>8.5000000000000006E-2</v>
      </c>
      <c r="C302" s="66">
        <f>Output!H302/Output!J302</f>
        <v>0.62940274269216889</v>
      </c>
      <c r="D302" s="49">
        <v>20</v>
      </c>
    </row>
    <row r="303" spans="1:4" x14ac:dyDescent="0.2">
      <c r="A303" s="49">
        <v>21</v>
      </c>
      <c r="B303" s="66">
        <v>8.5000000000000006E-2</v>
      </c>
      <c r="C303" s="66">
        <f>Output!H303/Output!J303</f>
        <v>1.6442035745487391</v>
      </c>
      <c r="D303" s="49">
        <v>21</v>
      </c>
    </row>
    <row r="304" spans="1:4" x14ac:dyDescent="0.2">
      <c r="A304" s="49">
        <v>22</v>
      </c>
      <c r="B304" s="66">
        <v>0.106</v>
      </c>
      <c r="C304" s="66">
        <f>Output!H304/Output!J304</f>
        <v>1.1457181681367226</v>
      </c>
      <c r="D304" s="49">
        <v>22</v>
      </c>
    </row>
    <row r="305" spans="1:4" x14ac:dyDescent="0.2">
      <c r="A305" s="49">
        <v>23</v>
      </c>
      <c r="B305" s="66">
        <v>0.11600000000000001</v>
      </c>
      <c r="C305" s="66">
        <f>Output!H305/Output!J305</f>
        <v>0.91578887713465318</v>
      </c>
      <c r="D305" s="49">
        <v>23</v>
      </c>
    </row>
    <row r="306" spans="1:4" x14ac:dyDescent="0.2">
      <c r="A306" s="49">
        <v>19</v>
      </c>
      <c r="B306" s="66">
        <v>6.0999999999999999E-2</v>
      </c>
      <c r="C306" s="66">
        <f>Output!H306/Output!J306</f>
        <v>0.73965175685538531</v>
      </c>
      <c r="D306" s="49">
        <v>19</v>
      </c>
    </row>
    <row r="307" spans="1:4" x14ac:dyDescent="0.2">
      <c r="A307" s="49">
        <v>20</v>
      </c>
      <c r="B307" s="66">
        <v>7.1999999999999995E-2</v>
      </c>
      <c r="C307" s="66">
        <f>Output!H307/Output!J307</f>
        <v>0.78476972184222527</v>
      </c>
      <c r="D307" s="49">
        <v>20</v>
      </c>
    </row>
    <row r="308" spans="1:4" x14ac:dyDescent="0.2">
      <c r="A308" s="49">
        <v>21</v>
      </c>
      <c r="B308" s="66">
        <v>8.3000000000000004E-2</v>
      </c>
      <c r="C308" s="66">
        <f>Output!H308/Output!J308</f>
        <v>0.71400178873099474</v>
      </c>
      <c r="D308" s="49">
        <v>21</v>
      </c>
    </row>
    <row r="309" spans="1:4" x14ac:dyDescent="0.2">
      <c r="A309" s="49">
        <v>22</v>
      </c>
      <c r="B309" s="66">
        <v>7.1999999999999995E-2</v>
      </c>
      <c r="C309" s="66">
        <f>Output!H309/Output!J309</f>
        <v>0.64781387886081032</v>
      </c>
      <c r="D309" s="49">
        <v>22</v>
      </c>
    </row>
    <row r="310" spans="1:4" x14ac:dyDescent="0.2">
      <c r="A310" s="49">
        <v>23</v>
      </c>
      <c r="B310" s="66">
        <v>7.5999999999999998E-2</v>
      </c>
      <c r="C310" s="66">
        <f>Output!H310/Output!J310</f>
        <v>0.71249408424041649</v>
      </c>
      <c r="D310" s="49">
        <v>23</v>
      </c>
    </row>
    <row r="311" spans="1:4" x14ac:dyDescent="0.2">
      <c r="A311" s="49">
        <v>19</v>
      </c>
      <c r="B311" s="66">
        <v>9.6000000000000002E-2</v>
      </c>
      <c r="C311" s="66">
        <f>Output!H311/Output!J311</f>
        <v>0.8761329305135952</v>
      </c>
      <c r="D311" s="49">
        <v>19</v>
      </c>
    </row>
    <row r="312" spans="1:4" x14ac:dyDescent="0.2">
      <c r="A312" s="49">
        <v>20</v>
      </c>
      <c r="B312" s="66">
        <v>7.9000000000000001E-2</v>
      </c>
      <c r="C312" s="66">
        <f>Output!H312/Output!J312</f>
        <v>0.81232060057407818</v>
      </c>
      <c r="D312" s="49">
        <v>20</v>
      </c>
    </row>
    <row r="313" spans="1:4" x14ac:dyDescent="0.2">
      <c r="A313" s="49">
        <v>21</v>
      </c>
      <c r="B313" s="66">
        <v>8.7999999999999995E-2</v>
      </c>
      <c r="C313" s="66">
        <f>Output!H313/Output!J313</f>
        <v>0.7269037495168148</v>
      </c>
      <c r="D313" s="49">
        <v>21</v>
      </c>
    </row>
    <row r="314" spans="1:4" x14ac:dyDescent="0.2">
      <c r="A314" s="49">
        <v>22</v>
      </c>
      <c r="B314" s="66">
        <v>8.1000000000000003E-2</v>
      </c>
      <c r="C314" s="66">
        <f>Output!H314/Output!J314</f>
        <v>0.71280813652818475</v>
      </c>
      <c r="D314" s="49">
        <v>22</v>
      </c>
    </row>
    <row r="315" spans="1:4" x14ac:dyDescent="0.2">
      <c r="A315" s="49">
        <v>23</v>
      </c>
      <c r="B315" s="66">
        <v>0.113</v>
      </c>
      <c r="C315" s="66">
        <f>Output!H315/Output!J315</f>
        <v>0.68002649884067567</v>
      </c>
      <c r="D315" s="49">
        <v>23</v>
      </c>
    </row>
    <row r="316" spans="1:4" x14ac:dyDescent="0.2">
      <c r="A316" s="49">
        <v>19</v>
      </c>
      <c r="B316" s="66">
        <v>9.7000000000000003E-2</v>
      </c>
      <c r="C316" s="66">
        <f>Output!H316/Output!J316</f>
        <v>0.33230465736300868</v>
      </c>
      <c r="D316" s="49">
        <v>19</v>
      </c>
    </row>
    <row r="317" spans="1:4" x14ac:dyDescent="0.2">
      <c r="A317" s="49">
        <v>20</v>
      </c>
      <c r="B317" s="66">
        <v>0.126</v>
      </c>
      <c r="C317" s="66">
        <f>Output!H317/Output!J317</f>
        <v>0.22298735145733209</v>
      </c>
      <c r="D317" s="49">
        <v>20</v>
      </c>
    </row>
    <row r="318" spans="1:4" x14ac:dyDescent="0.2">
      <c r="A318" s="49">
        <v>21</v>
      </c>
      <c r="B318" s="66">
        <v>0.114</v>
      </c>
      <c r="C318" s="66">
        <f>Output!H318/Output!J318</f>
        <v>0.12124915492225284</v>
      </c>
      <c r="D318" s="49">
        <v>21</v>
      </c>
    </row>
    <row r="319" spans="1:4" x14ac:dyDescent="0.2">
      <c r="A319" s="49">
        <v>22</v>
      </c>
      <c r="B319" s="66">
        <v>0.10199999999999999</v>
      </c>
      <c r="C319" s="66">
        <f>Output!H319/Output!J319</f>
        <v>0.1285098134683135</v>
      </c>
      <c r="D319" s="49">
        <v>22</v>
      </c>
    </row>
    <row r="320" spans="1:4" x14ac:dyDescent="0.2">
      <c r="A320" s="49">
        <v>23</v>
      </c>
      <c r="B320" s="66">
        <v>0.1</v>
      </c>
      <c r="C320" s="66">
        <f>Output!H320/Output!J320</f>
        <v>0.13286351310921896</v>
      </c>
      <c r="D320" s="49">
        <v>23</v>
      </c>
    </row>
    <row r="321" spans="1:4" x14ac:dyDescent="0.2">
      <c r="A321" s="49">
        <v>19</v>
      </c>
      <c r="B321" s="66">
        <v>7.3999999999999996E-2</v>
      </c>
      <c r="C321" s="66">
        <f>Output!H321/Output!J321</f>
        <v>0.9234405186780682</v>
      </c>
      <c r="D321" s="49">
        <v>19</v>
      </c>
    </row>
    <row r="322" spans="1:4" x14ac:dyDescent="0.2">
      <c r="A322" s="49">
        <v>20</v>
      </c>
      <c r="B322" s="66">
        <v>5.0999999999999997E-2</v>
      </c>
      <c r="C322" s="66">
        <f>Output!H322/Output!J322</f>
        <v>0.64553586960438814</v>
      </c>
      <c r="D322" s="49">
        <v>20</v>
      </c>
    </row>
    <row r="323" spans="1:4" x14ac:dyDescent="0.2">
      <c r="A323" s="49">
        <v>21</v>
      </c>
      <c r="B323" s="66">
        <v>0.106</v>
      </c>
      <c r="C323" s="66">
        <f>Output!H323/Output!J323</f>
        <v>0.7181222322641081</v>
      </c>
      <c r="D323" s="49">
        <v>21</v>
      </c>
    </row>
    <row r="324" spans="1:4" x14ac:dyDescent="0.2">
      <c r="A324" s="49">
        <v>22</v>
      </c>
      <c r="B324" s="66">
        <v>0.115</v>
      </c>
      <c r="C324" s="66">
        <f>Output!H324/Output!J324</f>
        <v>1.0446599481240522</v>
      </c>
      <c r="D324" s="49">
        <v>22</v>
      </c>
    </row>
    <row r="325" spans="1:4" x14ac:dyDescent="0.2">
      <c r="A325" s="49">
        <v>23</v>
      </c>
      <c r="B325" s="66">
        <v>0.153</v>
      </c>
      <c r="C325" s="66">
        <f>Output!H325/Output!J325</f>
        <v>1.041289023162135</v>
      </c>
      <c r="D325" s="49">
        <v>23</v>
      </c>
    </row>
    <row r="326" spans="1:4" x14ac:dyDescent="0.2">
      <c r="A326" s="49">
        <v>19</v>
      </c>
      <c r="B326" s="66">
        <v>0.12</v>
      </c>
      <c r="C326" s="66">
        <f>Output!H326/Output!J326</f>
        <v>0.76481946321683725</v>
      </c>
      <c r="D326" s="49">
        <v>19</v>
      </c>
    </row>
    <row r="327" spans="1:4" x14ac:dyDescent="0.2">
      <c r="A327" s="49">
        <v>20</v>
      </c>
      <c r="B327" s="66">
        <v>9.5000000000000001E-2</v>
      </c>
      <c r="C327" s="66">
        <f>Output!H327/Output!J327</f>
        <v>1.582400416558188</v>
      </c>
      <c r="D327" s="49">
        <v>20</v>
      </c>
    </row>
    <row r="328" spans="1:4" x14ac:dyDescent="0.2">
      <c r="A328" s="49">
        <v>21</v>
      </c>
      <c r="B328" s="66">
        <v>9.1999999999999998E-2</v>
      </c>
      <c r="C328" s="66">
        <f>Output!H328/Output!J328</f>
        <v>1.3786553361659586</v>
      </c>
      <c r="D328" s="49">
        <v>21</v>
      </c>
    </row>
    <row r="329" spans="1:4" x14ac:dyDescent="0.2">
      <c r="A329" s="49">
        <v>22</v>
      </c>
      <c r="B329" s="66">
        <v>9.6000000000000002E-2</v>
      </c>
      <c r="C329" s="66">
        <f>Output!H329/Output!J329</f>
        <v>0.73812257786708768</v>
      </c>
      <c r="D329" s="49">
        <v>22</v>
      </c>
    </row>
    <row r="330" spans="1:4" x14ac:dyDescent="0.2">
      <c r="A330" s="49">
        <v>23</v>
      </c>
      <c r="B330" s="66">
        <v>0.109</v>
      </c>
      <c r="C330" s="66">
        <f>Output!H330/Output!J330</f>
        <v>0.75966165961790866</v>
      </c>
      <c r="D330" s="49">
        <v>23</v>
      </c>
    </row>
    <row r="331" spans="1:4" x14ac:dyDescent="0.2">
      <c r="A331" s="49">
        <v>19</v>
      </c>
      <c r="B331" s="66">
        <v>0.152</v>
      </c>
      <c r="C331" s="66">
        <f>Output!H331/Output!J331</f>
        <v>0.35183316515304408</v>
      </c>
      <c r="D331" s="49">
        <v>19</v>
      </c>
    </row>
    <row r="332" spans="1:4" x14ac:dyDescent="0.2">
      <c r="A332" s="49">
        <v>20</v>
      </c>
      <c r="B332" s="66"/>
      <c r="C332" s="66">
        <f>Output!H332/Output!J332</f>
        <v>0.28626634958382879</v>
      </c>
      <c r="D332" s="49">
        <v>20</v>
      </c>
    </row>
    <row r="333" spans="1:4" x14ac:dyDescent="0.2">
      <c r="A333" s="49">
        <v>21</v>
      </c>
      <c r="B333" s="66">
        <v>0.1368</v>
      </c>
      <c r="C333" s="66">
        <f>Output!H333/Output!J333</f>
        <v>0.43983822042467141</v>
      </c>
      <c r="D333" s="49">
        <v>21</v>
      </c>
    </row>
    <row r="334" spans="1:4" x14ac:dyDescent="0.2">
      <c r="A334" s="49">
        <v>22</v>
      </c>
      <c r="B334" s="66">
        <v>0.13980000000000001</v>
      </c>
      <c r="C334" s="66">
        <f>Output!H334/Output!J334</f>
        <v>0.40017156337122023</v>
      </c>
      <c r="D334" s="49">
        <v>22</v>
      </c>
    </row>
    <row r="335" spans="1:4" x14ac:dyDescent="0.2">
      <c r="A335" s="49">
        <v>23</v>
      </c>
      <c r="B335" s="66">
        <v>0.13800000000000001</v>
      </c>
      <c r="C335" s="66">
        <f>Output!H335/Output!J335</f>
        <v>0.3436249285305889</v>
      </c>
      <c r="D335" s="49">
        <v>23</v>
      </c>
    </row>
    <row r="336" spans="1:4" x14ac:dyDescent="0.2">
      <c r="A336" s="49">
        <v>19</v>
      </c>
      <c r="B336" s="66">
        <v>8.8999999999999996E-2</v>
      </c>
      <c r="C336" s="66">
        <f>Output!H336/Output!J336</f>
        <v>0.62187910643889621</v>
      </c>
      <c r="D336" s="49">
        <v>19</v>
      </c>
    </row>
    <row r="337" spans="1:4" x14ac:dyDescent="0.2">
      <c r="A337" s="49">
        <v>20</v>
      </c>
      <c r="B337" s="66">
        <v>8.3000000000000004E-2</v>
      </c>
      <c r="C337" s="66">
        <f>Output!H337/Output!J337</f>
        <v>0.45317220543806647</v>
      </c>
      <c r="D337" s="49">
        <v>20</v>
      </c>
    </row>
    <row r="338" spans="1:4" x14ac:dyDescent="0.2">
      <c r="A338" s="49">
        <v>21</v>
      </c>
      <c r="B338" s="66">
        <v>8.7999999999999995E-2</v>
      </c>
      <c r="C338" s="66">
        <f>Output!H338/Output!J338</f>
        <v>0.31690622861054074</v>
      </c>
      <c r="D338" s="49">
        <v>21</v>
      </c>
    </row>
    <row r="339" spans="1:4" x14ac:dyDescent="0.2">
      <c r="A339" s="49">
        <v>22</v>
      </c>
      <c r="B339" s="66">
        <v>8.0500000000000002E-2</v>
      </c>
      <c r="C339" s="66">
        <f>Output!H339/Output!J339</f>
        <v>0.27049979117360434</v>
      </c>
      <c r="D339" s="49">
        <v>22</v>
      </c>
    </row>
    <row r="340" spans="1:4" x14ac:dyDescent="0.2">
      <c r="A340" s="49">
        <v>23</v>
      </c>
      <c r="B340" s="66">
        <v>8.5300000000000001E-2</v>
      </c>
      <c r="C340" s="66">
        <f>Output!H340/Output!J340</f>
        <v>0.26119606772255599</v>
      </c>
      <c r="D340" s="49">
        <v>23</v>
      </c>
    </row>
    <row r="341" spans="1:4" x14ac:dyDescent="0.2">
      <c r="A341" s="49">
        <v>19</v>
      </c>
      <c r="B341" s="66">
        <v>5.3999999999999999E-2</v>
      </c>
      <c r="C341" s="66">
        <f>Output!H341/Output!J341</f>
        <v>0.80364384031069735</v>
      </c>
      <c r="D341" s="49">
        <v>19</v>
      </c>
    </row>
    <row r="342" spans="1:4" x14ac:dyDescent="0.2">
      <c r="A342" s="49">
        <v>20</v>
      </c>
      <c r="B342" s="66">
        <v>5.8000000000000003E-2</v>
      </c>
      <c r="C342" s="66">
        <f>Output!H342/Output!J342</f>
        <v>0.80793722992949735</v>
      </c>
      <c r="D342" s="49">
        <v>20</v>
      </c>
    </row>
    <row r="343" spans="1:4" x14ac:dyDescent="0.2">
      <c r="A343" s="49">
        <v>21</v>
      </c>
      <c r="B343" s="66">
        <v>5.9700000000000003E-2</v>
      </c>
      <c r="C343" s="66">
        <f>Output!H343/Output!J343</f>
        <v>0.72082283795130142</v>
      </c>
      <c r="D343" s="49">
        <v>21</v>
      </c>
    </row>
    <row r="344" spans="1:4" x14ac:dyDescent="0.2">
      <c r="A344" s="49">
        <v>22</v>
      </c>
      <c r="B344" s="66">
        <v>8.3699999999999997E-2</v>
      </c>
      <c r="C344" s="66">
        <f>Output!H344/Output!J344</f>
        <v>0.63110792912117419</v>
      </c>
      <c r="D344" s="49">
        <v>22</v>
      </c>
    </row>
    <row r="345" spans="1:4" x14ac:dyDescent="0.2">
      <c r="A345" s="49">
        <v>23</v>
      </c>
      <c r="B345" s="66">
        <v>9.7000000000000003E-2</v>
      </c>
      <c r="C345" s="66">
        <f>Output!H345/Output!J345</f>
        <v>0.76011273209549068</v>
      </c>
      <c r="D345" s="49">
        <v>23</v>
      </c>
    </row>
    <row r="346" spans="1:4" x14ac:dyDescent="0.2">
      <c r="A346" s="49">
        <v>19</v>
      </c>
      <c r="B346" s="66">
        <v>0.10199999999999999</v>
      </c>
      <c r="C346" s="66">
        <f>Output!H346/Output!J346</f>
        <v>0.23855312574914098</v>
      </c>
      <c r="D346" s="49">
        <v>19</v>
      </c>
    </row>
    <row r="347" spans="1:4" x14ac:dyDescent="0.2">
      <c r="A347" s="49">
        <v>20</v>
      </c>
      <c r="B347" s="66">
        <v>0.10199999999999999</v>
      </c>
      <c r="C347" s="66">
        <f>Output!H347/Output!J347</f>
        <v>0.21583875162548766</v>
      </c>
      <c r="D347" s="49">
        <v>20</v>
      </c>
    </row>
    <row r="348" spans="1:4" x14ac:dyDescent="0.2">
      <c r="A348" s="49">
        <v>21</v>
      </c>
      <c r="B348" s="66">
        <v>0.10199999999999999</v>
      </c>
      <c r="C348" s="66">
        <f>Output!H348/Output!J348</f>
        <v>0.19304968576871701</v>
      </c>
      <c r="D348" s="49">
        <v>21</v>
      </c>
    </row>
    <row r="349" spans="1:4" x14ac:dyDescent="0.2">
      <c r="A349" s="49">
        <v>22</v>
      </c>
      <c r="B349" s="66">
        <v>0.10199999999999999</v>
      </c>
      <c r="C349" s="66">
        <f>Output!H349/Output!J349</f>
        <v>0.18988351954358679</v>
      </c>
      <c r="D349" s="49">
        <v>22</v>
      </c>
    </row>
    <row r="350" spans="1:4" x14ac:dyDescent="0.2">
      <c r="A350" s="49">
        <v>23</v>
      </c>
      <c r="B350" s="66"/>
      <c r="C350" s="66">
        <f>Output!H350/Output!J350</f>
        <v>0.16955397643707523</v>
      </c>
      <c r="D350" s="49">
        <v>23</v>
      </c>
    </row>
    <row r="351" spans="1:4" x14ac:dyDescent="0.2">
      <c r="A351" s="49">
        <v>19</v>
      </c>
      <c r="B351" s="66">
        <v>9.6000000000000002E-2</v>
      </c>
      <c r="C351" s="66">
        <f>Output!H351/Output!J351</f>
        <v>0.71124620060790278</v>
      </c>
      <c r="D351" s="49">
        <v>19</v>
      </c>
    </row>
    <row r="352" spans="1:4" x14ac:dyDescent="0.2">
      <c r="A352" s="49">
        <v>20</v>
      </c>
      <c r="B352" s="66">
        <v>9.0999999999999998E-2</v>
      </c>
      <c r="C352" s="66">
        <f>Output!H352/Output!J352</f>
        <v>0.7015369360436291</v>
      </c>
      <c r="D352" s="49">
        <v>20</v>
      </c>
    </row>
    <row r="353" spans="1:4" x14ac:dyDescent="0.2">
      <c r="A353" s="49">
        <v>21</v>
      </c>
      <c r="B353" s="66">
        <v>8.1000000000000003E-2</v>
      </c>
      <c r="C353" s="66">
        <f>Output!H353/Output!J353</f>
        <v>0.61222831606743855</v>
      </c>
      <c r="D353" s="49">
        <v>21</v>
      </c>
    </row>
    <row r="354" spans="1:4" x14ac:dyDescent="0.2">
      <c r="A354" s="49">
        <v>22</v>
      </c>
      <c r="B354" s="66">
        <v>0.10100000000000001</v>
      </c>
      <c r="C354" s="66">
        <f>Output!H354/Output!J354</f>
        <v>0.68547189819724286</v>
      </c>
      <c r="D354" s="49">
        <v>22</v>
      </c>
    </row>
    <row r="355" spans="1:4" x14ac:dyDescent="0.2">
      <c r="A355" s="49">
        <v>23</v>
      </c>
      <c r="B355" s="66">
        <v>0.10199999999999999</v>
      </c>
      <c r="C355" s="66">
        <f>Output!H355/Output!J355</f>
        <v>0.7502310536044362</v>
      </c>
      <c r="D355" s="49">
        <v>23</v>
      </c>
    </row>
    <row r="356" spans="1:4" x14ac:dyDescent="0.2">
      <c r="A356" s="49">
        <v>19</v>
      </c>
      <c r="B356" s="66">
        <v>8.5000000000000006E-2</v>
      </c>
      <c r="C356" s="66">
        <f>Output!H356/Output!J356</f>
        <v>0.26331759946055294</v>
      </c>
      <c r="D356" s="49">
        <v>19</v>
      </c>
    </row>
    <row r="357" spans="1:4" x14ac:dyDescent="0.2">
      <c r="A357" s="49">
        <v>20</v>
      </c>
      <c r="B357" s="66">
        <v>9.5299999999999996E-2</v>
      </c>
      <c r="C357" s="66">
        <f>Output!H357/Output!J357</f>
        <v>0.21113814544471479</v>
      </c>
      <c r="D357" s="49">
        <v>20</v>
      </c>
    </row>
    <row r="358" spans="1:4" x14ac:dyDescent="0.2">
      <c r="A358" s="49">
        <v>21</v>
      </c>
      <c r="B358" s="66">
        <v>0.10100000000000001</v>
      </c>
      <c r="C358" s="66">
        <f>Output!H358/Output!J358</f>
        <v>0.40352348993288589</v>
      </c>
      <c r="D358" s="49">
        <v>21</v>
      </c>
    </row>
    <row r="359" spans="1:4" x14ac:dyDescent="0.2">
      <c r="A359" s="49">
        <v>22</v>
      </c>
      <c r="B359" s="66">
        <v>0.121</v>
      </c>
      <c r="C359" s="66">
        <f>Output!H359/Output!J359</f>
        <v>0.40114985163204747</v>
      </c>
      <c r="D359" s="49">
        <v>22</v>
      </c>
    </row>
    <row r="360" spans="1:4" x14ac:dyDescent="0.2">
      <c r="A360" s="49">
        <v>23</v>
      </c>
      <c r="B360" s="66">
        <v>0.127</v>
      </c>
      <c r="C360" s="66">
        <f>Output!H360/Output!J360</f>
        <v>0.41384645136337267</v>
      </c>
      <c r="D360" s="49">
        <v>23</v>
      </c>
    </row>
    <row r="361" spans="1:4" x14ac:dyDescent="0.2">
      <c r="A361" s="49">
        <v>19</v>
      </c>
      <c r="B361" s="66">
        <v>9.4E-2</v>
      </c>
      <c r="C361" s="66">
        <f>Output!H361/Output!J361</f>
        <v>0.1403608890365631</v>
      </c>
      <c r="D361" s="49">
        <v>19</v>
      </c>
    </row>
    <row r="362" spans="1:4" x14ac:dyDescent="0.2">
      <c r="A362" s="49">
        <v>20</v>
      </c>
      <c r="B362" s="66">
        <v>8.6400000000000005E-2</v>
      </c>
      <c r="C362" s="66">
        <f>Output!H362/Output!J362</f>
        <v>9.6946883334611517E-2</v>
      </c>
      <c r="D362" s="49">
        <v>20</v>
      </c>
    </row>
    <row r="363" spans="1:4" x14ac:dyDescent="0.2">
      <c r="A363" s="49">
        <v>21</v>
      </c>
      <c r="B363" s="66">
        <v>9.4E-2</v>
      </c>
      <c r="C363" s="66">
        <f>Output!H363/Output!J363</f>
        <v>7.0553067469146177E-2</v>
      </c>
      <c r="D363" s="49">
        <v>21</v>
      </c>
    </row>
    <row r="364" spans="1:4" x14ac:dyDescent="0.2">
      <c r="A364" s="49">
        <v>22</v>
      </c>
      <c r="B364" s="66">
        <v>9.4E-2</v>
      </c>
      <c r="C364" s="66">
        <f>Output!H364/Output!J364</f>
        <v>7.0907918877373924E-2</v>
      </c>
      <c r="D364" s="49">
        <v>22</v>
      </c>
    </row>
    <row r="365" spans="1:4" x14ac:dyDescent="0.2">
      <c r="A365" s="49">
        <v>23</v>
      </c>
      <c r="B365" s="66">
        <v>0.1353</v>
      </c>
      <c r="C365" s="66">
        <f>Output!H365/Output!J365</f>
        <v>5.3866327378479434E-2</v>
      </c>
      <c r="D365" s="49">
        <v>23</v>
      </c>
    </row>
    <row r="366" spans="1:4" x14ac:dyDescent="0.2">
      <c r="A366" s="49">
        <v>19</v>
      </c>
      <c r="B366" s="66">
        <v>0.1</v>
      </c>
      <c r="C366" s="66">
        <f>Output!H366/Output!J366</f>
        <v>0.13220815752461323</v>
      </c>
      <c r="D366" s="49">
        <v>19</v>
      </c>
    </row>
    <row r="367" spans="1:4" x14ac:dyDescent="0.2">
      <c r="A367" s="49">
        <v>20</v>
      </c>
      <c r="B367" s="66">
        <v>0.1</v>
      </c>
      <c r="C367" s="66">
        <f>Output!H367/Output!J367</f>
        <v>0.1067428069404788</v>
      </c>
      <c r="D367" s="49">
        <v>20</v>
      </c>
    </row>
    <row r="368" spans="1:4" x14ac:dyDescent="0.2">
      <c r="A368" s="49">
        <v>21</v>
      </c>
      <c r="B368" s="66">
        <v>0.1</v>
      </c>
      <c r="C368" s="66">
        <f>Output!H368/Output!J368</f>
        <v>0.10706747215954582</v>
      </c>
      <c r="D368" s="49">
        <v>21</v>
      </c>
    </row>
    <row r="369" spans="1:4" x14ac:dyDescent="0.2">
      <c r="A369" s="49">
        <v>22</v>
      </c>
      <c r="B369" s="66">
        <v>0.09</v>
      </c>
      <c r="C369" s="66">
        <f>Output!H369/Output!J369</f>
        <v>0.14387267237040766</v>
      </c>
      <c r="D369" s="49">
        <v>22</v>
      </c>
    </row>
    <row r="370" spans="1:4" x14ac:dyDescent="0.2">
      <c r="A370" s="49">
        <v>23</v>
      </c>
      <c r="B370" s="66">
        <v>0.1</v>
      </c>
      <c r="C370" s="66">
        <f>Output!H370/Output!J370</f>
        <v>0.12806347930895942</v>
      </c>
      <c r="D370" s="49">
        <v>23</v>
      </c>
    </row>
    <row r="371" spans="1:4" x14ac:dyDescent="0.2">
      <c r="A371" s="49">
        <v>19</v>
      </c>
      <c r="B371" s="66">
        <v>8.2000000000000003E-2</v>
      </c>
      <c r="C371" s="66">
        <f>Output!H371/Output!J371</f>
        <v>0.149706457925636</v>
      </c>
      <c r="D371" s="49">
        <v>19</v>
      </c>
    </row>
    <row r="372" spans="1:4" x14ac:dyDescent="0.2">
      <c r="A372" s="49">
        <v>20</v>
      </c>
      <c r="B372" s="66">
        <v>7.3999999999999996E-2</v>
      </c>
      <c r="C372" s="66">
        <f>Output!H372/Output!J372</f>
        <v>0.24658415045812571</v>
      </c>
      <c r="D372" s="49">
        <v>20</v>
      </c>
    </row>
    <row r="373" spans="1:4" x14ac:dyDescent="0.2">
      <c r="A373" s="49">
        <v>21</v>
      </c>
      <c r="B373" s="66">
        <v>7.8E-2</v>
      </c>
      <c r="C373" s="66">
        <f>Output!H373/Output!J373</f>
        <v>0.22746875228418975</v>
      </c>
      <c r="D373" s="49">
        <v>21</v>
      </c>
    </row>
    <row r="374" spans="1:4" x14ac:dyDescent="0.2">
      <c r="A374" s="49">
        <v>22</v>
      </c>
      <c r="B374" s="66">
        <v>8.5999999999999993E-2</v>
      </c>
      <c r="C374" s="66">
        <f>Output!H374/Output!J374</f>
        <v>0.24033991865194654</v>
      </c>
      <c r="D374" s="49">
        <v>22</v>
      </c>
    </row>
    <row r="375" spans="1:4" x14ac:dyDescent="0.2">
      <c r="A375" s="49">
        <v>23</v>
      </c>
      <c r="B375" s="66">
        <v>8.3000000000000004E-2</v>
      </c>
      <c r="C375" s="66">
        <f>Output!H375/Output!J375</f>
        <v>0.21877810835120737</v>
      </c>
      <c r="D375" s="49">
        <v>23</v>
      </c>
    </row>
    <row r="376" spans="1:4" x14ac:dyDescent="0.2">
      <c r="A376" s="49">
        <v>19</v>
      </c>
      <c r="B376" s="66">
        <v>9.7000000000000003E-2</v>
      </c>
      <c r="C376" s="66">
        <f>Output!H376/Output!J376</f>
        <v>0.98513957166102961</v>
      </c>
      <c r="D376" s="49">
        <v>19</v>
      </c>
    </row>
    <row r="377" spans="1:4" x14ac:dyDescent="0.2">
      <c r="A377" s="49">
        <v>20</v>
      </c>
      <c r="B377" s="66">
        <v>0.10199999999999999</v>
      </c>
      <c r="C377" s="66">
        <f>Output!H377/Output!J377</f>
        <v>0.91647299023671436</v>
      </c>
      <c r="D377" s="49">
        <v>20</v>
      </c>
    </row>
    <row r="378" spans="1:4" x14ac:dyDescent="0.2">
      <c r="A378" s="49">
        <v>21</v>
      </c>
      <c r="B378" s="66">
        <v>0.10199999999999999</v>
      </c>
      <c r="C378" s="66">
        <f>Output!H378/Output!J378</f>
        <v>1.1549328676308135</v>
      </c>
      <c r="D378" s="49">
        <v>21</v>
      </c>
    </row>
    <row r="379" spans="1:4" x14ac:dyDescent="0.2">
      <c r="A379" s="49">
        <v>22</v>
      </c>
      <c r="B379" s="66">
        <v>0.108</v>
      </c>
      <c r="C379" s="66">
        <f>Output!H379/Output!J379</f>
        <v>1.0697136481235583</v>
      </c>
      <c r="D379" s="49">
        <v>22</v>
      </c>
    </row>
    <row r="380" spans="1:4" x14ac:dyDescent="0.2">
      <c r="A380" s="49">
        <v>23</v>
      </c>
      <c r="B380" s="66">
        <v>0.108</v>
      </c>
      <c r="C380" s="66">
        <f>Output!H380/Output!J380</f>
        <v>0.9751805465772494</v>
      </c>
      <c r="D380" s="49">
        <v>23</v>
      </c>
    </row>
    <row r="381" spans="1:4" x14ac:dyDescent="0.2">
      <c r="A381" s="49">
        <v>19</v>
      </c>
      <c r="B381" s="66">
        <v>0.1</v>
      </c>
      <c r="C381" s="66">
        <f>Output!H381/Output!J381</f>
        <v>0.26077428780131484</v>
      </c>
      <c r="D381" s="49">
        <v>19</v>
      </c>
    </row>
    <row r="382" spans="1:4" x14ac:dyDescent="0.2">
      <c r="A382" s="49">
        <v>20</v>
      </c>
      <c r="B382" s="66">
        <v>0.1</v>
      </c>
      <c r="C382" s="66">
        <f>Output!H382/Output!J382</f>
        <v>0.23949501537314824</v>
      </c>
      <c r="D382" s="49">
        <v>20</v>
      </c>
    </row>
    <row r="383" spans="1:4" x14ac:dyDescent="0.2">
      <c r="A383" s="49">
        <v>21</v>
      </c>
      <c r="B383" s="66">
        <v>0.1</v>
      </c>
      <c r="C383" s="66">
        <f>Output!H383/Output!J383</f>
        <v>0.22862987465181059</v>
      </c>
      <c r="D383" s="49">
        <v>21</v>
      </c>
    </row>
    <row r="384" spans="1:4" x14ac:dyDescent="0.2">
      <c r="A384" s="49">
        <v>22</v>
      </c>
      <c r="B384" s="66">
        <v>0.1</v>
      </c>
      <c r="C384" s="66">
        <f>Output!H384/Output!J384</f>
        <v>0.18259512989215221</v>
      </c>
      <c r="D384" s="49">
        <v>22</v>
      </c>
    </row>
    <row r="385" spans="1:4" x14ac:dyDescent="0.2">
      <c r="A385" s="49">
        <v>23</v>
      </c>
      <c r="B385" s="66">
        <v>0.1</v>
      </c>
      <c r="C385" s="66">
        <f>Output!H385/Output!J385</f>
        <v>0.16931481192445763</v>
      </c>
      <c r="D385" s="49">
        <v>23</v>
      </c>
    </row>
    <row r="386" spans="1:4" x14ac:dyDescent="0.2">
      <c r="A386" s="49">
        <v>19</v>
      </c>
      <c r="B386" s="66">
        <v>0.106</v>
      </c>
      <c r="C386" s="66">
        <f>Output!H386/Output!J386</f>
        <v>6.0200951281979116E-2</v>
      </c>
      <c r="D386" s="49">
        <v>19</v>
      </c>
    </row>
    <row r="387" spans="1:4" x14ac:dyDescent="0.2">
      <c r="A387" s="49">
        <v>20</v>
      </c>
      <c r="B387" s="66">
        <v>0.10100000000000001</v>
      </c>
      <c r="C387" s="66">
        <f>Output!H387/Output!J387</f>
        <v>5.1673527812483598E-2</v>
      </c>
      <c r="D387" s="49">
        <v>20</v>
      </c>
    </row>
    <row r="388" spans="1:4" x14ac:dyDescent="0.2">
      <c r="A388" s="49">
        <v>21</v>
      </c>
      <c r="B388" s="66">
        <v>0.104</v>
      </c>
      <c r="C388" s="66">
        <f>Output!H388/Output!J388</f>
        <v>4.6186074872980196E-2</v>
      </c>
      <c r="D388" s="49">
        <v>21</v>
      </c>
    </row>
    <row r="389" spans="1:4" x14ac:dyDescent="0.2">
      <c r="A389" s="49">
        <v>22</v>
      </c>
      <c r="B389" s="66">
        <v>0.109</v>
      </c>
      <c r="C389" s="66">
        <f>Output!H389/Output!J389</f>
        <v>3.9843630101436836E-2</v>
      </c>
      <c r="D389" s="49">
        <v>22</v>
      </c>
    </row>
    <row r="390" spans="1:4" x14ac:dyDescent="0.2">
      <c r="A390" s="49">
        <v>23</v>
      </c>
      <c r="B390" s="66">
        <v>0.106</v>
      </c>
      <c r="C390" s="66">
        <f>Output!H390/Output!J390</f>
        <v>3.1738841519860908E-2</v>
      </c>
      <c r="D390" s="49">
        <v>23</v>
      </c>
    </row>
    <row r="391" spans="1:4" x14ac:dyDescent="0.2">
      <c r="A391" s="49">
        <v>19</v>
      </c>
      <c r="B391" s="66">
        <v>7.6999999999999999E-2</v>
      </c>
      <c r="C391" s="66">
        <f>Output!H391/Output!J391</f>
        <v>0.51860264615180551</v>
      </c>
      <c r="D391" s="49">
        <v>19</v>
      </c>
    </row>
    <row r="392" spans="1:4" x14ac:dyDescent="0.2">
      <c r="A392" s="49">
        <v>20</v>
      </c>
      <c r="B392" s="66">
        <v>7.6999999999999999E-2</v>
      </c>
      <c r="C392" s="66">
        <f>Output!H392/Output!J392</f>
        <v>0.51627243595680439</v>
      </c>
      <c r="D392" s="49">
        <v>20</v>
      </c>
    </row>
    <row r="393" spans="1:4" x14ac:dyDescent="0.2">
      <c r="A393" s="49">
        <v>21</v>
      </c>
      <c r="B393" s="66">
        <v>8.5999999999999993E-2</v>
      </c>
      <c r="C393" s="66">
        <f>Output!H393/Output!J393</f>
        <v>0.41339466771915023</v>
      </c>
      <c r="D393" s="49">
        <v>21</v>
      </c>
    </row>
    <row r="394" spans="1:4" x14ac:dyDescent="0.2">
      <c r="A394" s="49">
        <v>22</v>
      </c>
      <c r="B394" s="66">
        <v>0.11600000000000001</v>
      </c>
      <c r="C394" s="66">
        <f>Output!H394/Output!J394</f>
        <v>5.1993325785114116E-3</v>
      </c>
      <c r="D394" s="49">
        <v>22</v>
      </c>
    </row>
    <row r="395" spans="1:4" x14ac:dyDescent="0.2">
      <c r="A395" s="49">
        <v>23</v>
      </c>
      <c r="B395" s="66">
        <v>0.11600000000000001</v>
      </c>
      <c r="C395" s="66">
        <f>Output!H395/Output!J395</f>
        <v>5.12737398889069E-3</v>
      </c>
      <c r="D395" s="49">
        <v>23</v>
      </c>
    </row>
    <row r="396" spans="1:4" x14ac:dyDescent="0.2">
      <c r="A396" s="49">
        <v>19</v>
      </c>
      <c r="B396" s="66">
        <v>6.7500000000000004E-2</v>
      </c>
      <c r="C396" s="66">
        <f>Output!H396/Output!J396</f>
        <v>1.0443108750349455</v>
      </c>
      <c r="D396" s="49">
        <v>19</v>
      </c>
    </row>
    <row r="397" spans="1:4" x14ac:dyDescent="0.2">
      <c r="A397" s="49">
        <v>20</v>
      </c>
      <c r="B397" s="66">
        <v>8.3500000000000005E-2</v>
      </c>
      <c r="C397" s="66">
        <f>Output!H397/Output!J397</f>
        <v>1.0059618441971383</v>
      </c>
      <c r="D397" s="49">
        <v>20</v>
      </c>
    </row>
    <row r="398" spans="1:4" x14ac:dyDescent="0.2">
      <c r="A398" s="49">
        <v>21</v>
      </c>
      <c r="B398" s="66">
        <v>8.4000000000000005E-2</v>
      </c>
      <c r="C398" s="66">
        <f>Output!H398/Output!J398</f>
        <v>0.94741128563118093</v>
      </c>
      <c r="D398" s="49">
        <v>21</v>
      </c>
    </row>
    <row r="399" spans="1:4" x14ac:dyDescent="0.2">
      <c r="A399" s="49">
        <v>22</v>
      </c>
      <c r="B399" s="66">
        <v>0.10780000000000001</v>
      </c>
      <c r="C399" s="66">
        <f>Output!H399/Output!J399</f>
        <v>0.92544521581648054</v>
      </c>
      <c r="D399" s="49">
        <v>22</v>
      </c>
    </row>
    <row r="400" spans="1:4" x14ac:dyDescent="0.2">
      <c r="A400" s="49">
        <v>23</v>
      </c>
      <c r="B400" s="66">
        <v>9.4299999999999995E-2</v>
      </c>
      <c r="C400" s="66">
        <f>Output!H400/Output!J400</f>
        <v>0.98819641170915962</v>
      </c>
      <c r="D400" s="49">
        <v>23</v>
      </c>
    </row>
    <row r="401" spans="1:4" x14ac:dyDescent="0.2">
      <c r="A401" s="49">
        <v>19</v>
      </c>
      <c r="B401" s="66">
        <v>0.1</v>
      </c>
      <c r="C401" s="66">
        <f>Output!H401/Output!J401</f>
        <v>0.23252053554103874</v>
      </c>
      <c r="D401" s="49">
        <v>19</v>
      </c>
    </row>
    <row r="402" spans="1:4" x14ac:dyDescent="0.2">
      <c r="A402" s="49">
        <v>20</v>
      </c>
      <c r="B402" s="66">
        <v>9.4E-2</v>
      </c>
      <c r="C402" s="66">
        <f>Output!H402/Output!J402</f>
        <v>0.22914521903474133</v>
      </c>
      <c r="D402" s="49">
        <v>20</v>
      </c>
    </row>
    <row r="403" spans="1:4" x14ac:dyDescent="0.2">
      <c r="A403" s="49">
        <v>21</v>
      </c>
      <c r="B403" s="66">
        <v>9.6000000000000002E-2</v>
      </c>
      <c r="C403" s="66">
        <f>Output!H403/Output!J403</f>
        <v>0.44401554404145077</v>
      </c>
      <c r="D403" s="49">
        <v>21</v>
      </c>
    </row>
    <row r="404" spans="1:4" x14ac:dyDescent="0.2">
      <c r="A404" s="49">
        <v>22</v>
      </c>
      <c r="B404" s="66">
        <v>9.4E-2</v>
      </c>
      <c r="C404" s="66">
        <f>Output!H404/Output!J404</f>
        <v>0.44401554404145077</v>
      </c>
      <c r="D404" s="49">
        <v>22</v>
      </c>
    </row>
    <row r="405" spans="1:4" x14ac:dyDescent="0.2">
      <c r="A405" s="49">
        <v>23</v>
      </c>
      <c r="B405" s="66">
        <v>9.7000000000000003E-2</v>
      </c>
      <c r="C405" s="66">
        <f>Output!H405/Output!J405</f>
        <v>0.53241432826282942</v>
      </c>
      <c r="D405" s="49">
        <v>23</v>
      </c>
    </row>
    <row r="406" spans="1:4" x14ac:dyDescent="0.2">
      <c r="A406" s="49">
        <v>19</v>
      </c>
      <c r="B406" s="66">
        <v>9.0999999999999998E-2</v>
      </c>
      <c r="C406" s="66">
        <f>Output!H406/Output!J406</f>
        <v>0.54054054054054057</v>
      </c>
      <c r="D406" s="49">
        <v>19</v>
      </c>
    </row>
    <row r="407" spans="1:4" x14ac:dyDescent="0.2">
      <c r="A407" s="49">
        <v>20</v>
      </c>
      <c r="B407" s="66">
        <v>6.0999999999999999E-2</v>
      </c>
      <c r="C407" s="66">
        <f>Output!H407/Output!J407</f>
        <v>0.47360000000000002</v>
      </c>
      <c r="D407" s="49">
        <v>20</v>
      </c>
    </row>
    <row r="408" spans="1:4" x14ac:dyDescent="0.2">
      <c r="A408" s="49">
        <v>21</v>
      </c>
      <c r="B408" s="66">
        <v>8.5999999999999993E-2</v>
      </c>
      <c r="C408" s="66">
        <f>Output!H408/Output!J408</f>
        <v>0.4718237704918033</v>
      </c>
      <c r="D408" s="49">
        <v>21</v>
      </c>
    </row>
    <row r="409" spans="1:4" x14ac:dyDescent="0.2">
      <c r="A409" s="49">
        <v>22</v>
      </c>
      <c r="B409" s="66">
        <v>0.1</v>
      </c>
      <c r="C409" s="66">
        <f>Output!H409/Output!J409</f>
        <v>0.41655941655941658</v>
      </c>
      <c r="D409" s="49">
        <v>22</v>
      </c>
    </row>
    <row r="410" spans="1:4" x14ac:dyDescent="0.2">
      <c r="A410" s="49">
        <v>23</v>
      </c>
      <c r="B410" s="66">
        <v>0.111</v>
      </c>
      <c r="C410" s="66">
        <f>Output!H410/Output!J410</f>
        <v>0.39632874426366294</v>
      </c>
      <c r="D410" s="49">
        <v>23</v>
      </c>
    </row>
    <row r="411" spans="1:4" x14ac:dyDescent="0.2">
      <c r="A411" s="49">
        <v>19</v>
      </c>
      <c r="B411" s="66">
        <v>6.5000000000000002E-2</v>
      </c>
      <c r="C411" s="66">
        <f>Output!H411/Output!J411</f>
        <v>1.1322499872246921</v>
      </c>
      <c r="D411" s="49">
        <v>19</v>
      </c>
    </row>
    <row r="412" spans="1:4" x14ac:dyDescent="0.2">
      <c r="A412" s="49">
        <v>20</v>
      </c>
      <c r="B412" s="66">
        <v>6.4000000000000001E-2</v>
      </c>
      <c r="C412" s="66">
        <f>Output!H412/Output!J412</f>
        <v>1.210035599254111</v>
      </c>
      <c r="D412" s="49">
        <v>20</v>
      </c>
    </row>
    <row r="413" spans="1:4" x14ac:dyDescent="0.2">
      <c r="A413" s="49">
        <v>21</v>
      </c>
      <c r="B413" s="66">
        <v>6.3E-2</v>
      </c>
      <c r="C413" s="66">
        <f>Output!H413/Output!J413</f>
        <v>1.1241342824163139</v>
      </c>
      <c r="D413" s="49">
        <v>21</v>
      </c>
    </row>
    <row r="414" spans="1:4" x14ac:dyDescent="0.2">
      <c r="A414" s="49">
        <v>22</v>
      </c>
      <c r="B414" s="66">
        <v>7.3999999999999996E-2</v>
      </c>
      <c r="C414" s="66">
        <f>Output!H414/Output!J414</f>
        <v>1.4007522512629036E-3</v>
      </c>
      <c r="D414" s="49">
        <v>22</v>
      </c>
    </row>
    <row r="415" spans="1:4" x14ac:dyDescent="0.2">
      <c r="A415" s="49">
        <v>23</v>
      </c>
      <c r="B415" s="66">
        <v>7.6999999999999999E-2</v>
      </c>
      <c r="C415" s="66">
        <f>Output!H415/Output!J415</f>
        <v>1.3875459871917155</v>
      </c>
      <c r="D415" s="49">
        <v>23</v>
      </c>
    </row>
    <row r="416" spans="1:4" x14ac:dyDescent="0.2">
      <c r="A416" s="49">
        <v>19</v>
      </c>
      <c r="B416" s="66">
        <v>0.1226</v>
      </c>
      <c r="C416" s="66">
        <f>Output!H416/Output!J416</f>
        <v>0.87786378367556339</v>
      </c>
      <c r="D416" s="49">
        <v>19</v>
      </c>
    </row>
    <row r="417" spans="1:4" x14ac:dyDescent="0.2">
      <c r="A417" s="49">
        <v>20</v>
      </c>
      <c r="B417" s="66">
        <v>9.2799999999999994E-2</v>
      </c>
      <c r="C417" s="66">
        <f>Output!H417/Output!J417</f>
        <v>0.43906678752239586</v>
      </c>
      <c r="D417" s="49">
        <v>20</v>
      </c>
    </row>
    <row r="418" spans="1:4" x14ac:dyDescent="0.2">
      <c r="A418" s="49">
        <v>21</v>
      </c>
      <c r="B418" s="66">
        <v>9.6199999999999994E-2</v>
      </c>
      <c r="C418" s="66">
        <f>Output!H418/Output!J418</f>
        <v>0.79707541798275328</v>
      </c>
      <c r="D418" s="49">
        <v>21</v>
      </c>
    </row>
    <row r="419" spans="1:4" x14ac:dyDescent="0.2">
      <c r="A419" s="49">
        <v>22</v>
      </c>
      <c r="B419" s="66">
        <v>0.1138</v>
      </c>
      <c r="C419" s="66">
        <f>Output!H419/Output!J419</f>
        <v>0.75045018878884695</v>
      </c>
      <c r="D419" s="49">
        <v>22</v>
      </c>
    </row>
    <row r="420" spans="1:4" x14ac:dyDescent="0.2">
      <c r="A420" s="49">
        <v>23</v>
      </c>
      <c r="B420" s="66">
        <v>0.11600000000000001</v>
      </c>
      <c r="C420" s="66">
        <f>Output!H420/Output!J420</f>
        <v>0.74743033687837923</v>
      </c>
      <c r="D420" s="49">
        <v>23</v>
      </c>
    </row>
    <row r="421" spans="1:4" x14ac:dyDescent="0.2">
      <c r="A421" s="49">
        <v>19</v>
      </c>
      <c r="B421" s="66">
        <v>9.5000000000000001E-2</v>
      </c>
      <c r="C421" s="66">
        <f>Output!H421/Output!J421</f>
        <v>0.12322318065848621</v>
      </c>
      <c r="D421" s="49">
        <v>19</v>
      </c>
    </row>
    <row r="422" spans="1:4" x14ac:dyDescent="0.2">
      <c r="A422" s="49">
        <v>20</v>
      </c>
      <c r="B422" s="66">
        <v>0.1125</v>
      </c>
      <c r="C422" s="66">
        <f>Output!H422/Output!J422</f>
        <v>9.6141895390989121E-2</v>
      </c>
      <c r="D422" s="49">
        <v>20</v>
      </c>
    </row>
    <row r="423" spans="1:4" x14ac:dyDescent="0.2">
      <c r="A423" s="49">
        <v>21</v>
      </c>
      <c r="B423" s="66">
        <v>0.10249999999999999</v>
      </c>
      <c r="C423" s="66">
        <f>Output!H423/Output!J423</f>
        <v>8.6115185079788978E-2</v>
      </c>
      <c r="D423" s="49">
        <v>21</v>
      </c>
    </row>
    <row r="424" spans="1:4" x14ac:dyDescent="0.2">
      <c r="A424" s="49">
        <v>22</v>
      </c>
      <c r="B424" s="66">
        <v>0.125</v>
      </c>
      <c r="C424" s="66">
        <f>Output!H424/Output!J424</f>
        <v>7.5484023153272489E-2</v>
      </c>
      <c r="D424" s="49">
        <v>22</v>
      </c>
    </row>
    <row r="425" spans="1:4" x14ac:dyDescent="0.2">
      <c r="A425" s="49">
        <v>23</v>
      </c>
      <c r="B425" s="66">
        <v>0.13250000000000001</v>
      </c>
      <c r="C425" s="66">
        <f>Output!H425/Output!J425</f>
        <v>6.9730614568876553E-2</v>
      </c>
      <c r="D425" s="49">
        <v>23</v>
      </c>
    </row>
    <row r="426" spans="1:4" x14ac:dyDescent="0.2">
      <c r="A426" s="49">
        <v>19</v>
      </c>
      <c r="B426" s="66">
        <v>0.08</v>
      </c>
      <c r="C426" s="66">
        <f>Output!H426/Output!J426</f>
        <v>3.7770795916475357E-2</v>
      </c>
      <c r="D426" s="49">
        <v>19</v>
      </c>
    </row>
    <row r="427" spans="1:4" x14ac:dyDescent="0.2">
      <c r="A427" s="49">
        <v>20</v>
      </c>
      <c r="B427" s="66">
        <v>0.08</v>
      </c>
      <c r="C427" s="66">
        <f>Output!H427/Output!J427</f>
        <v>3.5818924508337055E-2</v>
      </c>
      <c r="D427" s="49">
        <v>20</v>
      </c>
    </row>
    <row r="428" spans="1:4" x14ac:dyDescent="0.2">
      <c r="A428" s="49">
        <v>21</v>
      </c>
      <c r="B428" s="66">
        <v>0.08</v>
      </c>
      <c r="C428" s="66">
        <f>Output!H428/Output!J428</f>
        <v>3.2019301708839307E-2</v>
      </c>
      <c r="D428" s="49">
        <v>21</v>
      </c>
    </row>
    <row r="429" spans="1:4" x14ac:dyDescent="0.2">
      <c r="A429" s="49">
        <v>22</v>
      </c>
      <c r="B429" s="66">
        <v>0.08</v>
      </c>
      <c r="C429" s="66">
        <f>Output!H429/Output!J429</f>
        <v>3.0392201543141754E-2</v>
      </c>
      <c r="D429" s="49">
        <v>22</v>
      </c>
    </row>
    <row r="430" spans="1:4" x14ac:dyDescent="0.2">
      <c r="A430" s="49">
        <v>23</v>
      </c>
      <c r="B430" s="66">
        <v>0.08</v>
      </c>
      <c r="C430" s="66">
        <f>Output!H430/Output!J430</f>
        <v>2.7989981898040944E-2</v>
      </c>
      <c r="D430" s="49">
        <v>23</v>
      </c>
    </row>
    <row r="431" spans="1:4" x14ac:dyDescent="0.2">
      <c r="A431" s="49">
        <v>19</v>
      </c>
      <c r="B431" s="66">
        <v>0.1</v>
      </c>
      <c r="C431" s="66">
        <f>Output!H431/Output!J431</f>
        <v>1.1391035548686244</v>
      </c>
      <c r="D431" s="49">
        <v>19</v>
      </c>
    </row>
    <row r="432" spans="1:4" x14ac:dyDescent="0.2">
      <c r="A432" s="49">
        <v>20</v>
      </c>
      <c r="B432" s="66">
        <v>7.0999999999999994E-2</v>
      </c>
      <c r="C432" s="66">
        <f>Output!H432/Output!J432</f>
        <v>1.2936857562408224</v>
      </c>
      <c r="D432" s="49">
        <v>20</v>
      </c>
    </row>
    <row r="433" spans="1:4" x14ac:dyDescent="0.2">
      <c r="A433" s="49">
        <v>21</v>
      </c>
      <c r="B433" s="66">
        <v>7.0999999999999994E-2</v>
      </c>
      <c r="C433" s="66">
        <f>Output!H433/Output!J433</f>
        <v>1.3048194003888263</v>
      </c>
      <c r="D433" s="49">
        <v>21</v>
      </c>
    </row>
    <row r="434" spans="1:4" x14ac:dyDescent="0.2">
      <c r="A434" s="49">
        <v>22</v>
      </c>
      <c r="B434" s="66">
        <v>8.2000000000000003E-2</v>
      </c>
      <c r="C434" s="66">
        <f>Output!H434/Output!J434</f>
        <v>1.1270108886547243</v>
      </c>
      <c r="D434" s="49">
        <v>22</v>
      </c>
    </row>
    <row r="435" spans="1:4" x14ac:dyDescent="0.2">
      <c r="A435" s="49">
        <v>23</v>
      </c>
      <c r="B435" s="66">
        <v>8.6999999999999994E-2</v>
      </c>
      <c r="C435" s="66">
        <f>Output!H435/Output!J435</f>
        <v>1.1270506612705067</v>
      </c>
      <c r="D435" s="49">
        <v>23</v>
      </c>
    </row>
    <row r="436" spans="1:4" x14ac:dyDescent="0.2">
      <c r="A436" s="49">
        <v>19</v>
      </c>
      <c r="B436" s="66">
        <v>9.6000000000000002E-2</v>
      </c>
      <c r="C436" s="66">
        <f>Output!H436/Output!J436</f>
        <v>0.94324781204596941</v>
      </c>
      <c r="D436" s="49">
        <v>19</v>
      </c>
    </row>
    <row r="437" spans="1:4" x14ac:dyDescent="0.2">
      <c r="A437" s="49">
        <v>20</v>
      </c>
      <c r="B437" s="66">
        <v>9.1999999999999998E-2</v>
      </c>
      <c r="C437" s="66">
        <f>Output!H437/Output!J437</f>
        <v>0.94764717865145653</v>
      </c>
      <c r="D437" s="49">
        <v>20</v>
      </c>
    </row>
    <row r="438" spans="1:4" x14ac:dyDescent="0.2">
      <c r="A438" s="49">
        <v>21</v>
      </c>
      <c r="B438" s="66">
        <v>8.5000000000000006E-2</v>
      </c>
      <c r="C438" s="66">
        <f>Output!H438/Output!J438</f>
        <v>0.79207534913933098</v>
      </c>
      <c r="D438" s="49">
        <v>21</v>
      </c>
    </row>
    <row r="439" spans="1:4" x14ac:dyDescent="0.2">
      <c r="A439" s="49">
        <v>22</v>
      </c>
      <c r="B439" s="66">
        <v>0.1188</v>
      </c>
      <c r="C439" s="66">
        <f>Output!H439/Output!J439</f>
        <v>0.96907374330186269</v>
      </c>
      <c r="D439" s="49">
        <v>22</v>
      </c>
    </row>
    <row r="440" spans="1:4" x14ac:dyDescent="0.2">
      <c r="A440" s="49">
        <v>23</v>
      </c>
      <c r="B440" s="66">
        <v>0.1351</v>
      </c>
      <c r="C440" s="66">
        <f>Output!H440/Output!J440</f>
        <v>0.91813065818448736</v>
      </c>
      <c r="D440" s="49">
        <v>23</v>
      </c>
    </row>
    <row r="441" spans="1:4" x14ac:dyDescent="0.2">
      <c r="A441" s="49">
        <v>19</v>
      </c>
      <c r="B441" s="66">
        <v>0.10199999999999999</v>
      </c>
      <c r="C441" s="66">
        <f>Output!H441/Output!J441</f>
        <v>0.39444772593030125</v>
      </c>
      <c r="D441" s="49">
        <v>19</v>
      </c>
    </row>
    <row r="442" spans="1:4" x14ac:dyDescent="0.2">
      <c r="A442" s="49">
        <v>20</v>
      </c>
      <c r="B442" s="66">
        <v>0.1</v>
      </c>
      <c r="C442" s="66">
        <f>Output!H442/Output!J442</f>
        <v>0.29065624072057805</v>
      </c>
      <c r="D442" s="49">
        <v>20</v>
      </c>
    </row>
    <row r="443" spans="1:4" x14ac:dyDescent="0.2">
      <c r="A443" s="49">
        <v>21</v>
      </c>
      <c r="B443" s="66">
        <v>0.1</v>
      </c>
      <c r="C443" s="66">
        <f>Output!H443/Output!J443</f>
        <v>0.27099943972762142</v>
      </c>
      <c r="D443" s="49">
        <v>21</v>
      </c>
    </row>
    <row r="444" spans="1:4" x14ac:dyDescent="0.2">
      <c r="A444" s="49">
        <v>22</v>
      </c>
      <c r="B444" s="66">
        <v>0.10100000000000001</v>
      </c>
      <c r="C444" s="66">
        <f>Output!H444/Output!J444</f>
        <v>0.26416588124410934</v>
      </c>
      <c r="D444" s="49">
        <v>22</v>
      </c>
    </row>
    <row r="445" spans="1:4" x14ac:dyDescent="0.2">
      <c r="A445" s="49">
        <v>23</v>
      </c>
      <c r="B445" s="66">
        <v>0.10100000000000001</v>
      </c>
      <c r="C445" s="66">
        <f>Output!H445/Output!J445</f>
        <v>0.28470192222517493</v>
      </c>
      <c r="D445" s="49">
        <v>23</v>
      </c>
    </row>
    <row r="446" spans="1:4" x14ac:dyDescent="0.2">
      <c r="A446" s="49">
        <v>19</v>
      </c>
      <c r="B446" s="66">
        <v>0.11</v>
      </c>
      <c r="C446" s="66">
        <f>Output!H446/Output!J446</f>
        <v>0.85458985777905472</v>
      </c>
      <c r="D446" s="49">
        <v>19</v>
      </c>
    </row>
    <row r="447" spans="1:4" x14ac:dyDescent="0.2">
      <c r="A447" s="49">
        <v>20</v>
      </c>
      <c r="B447" s="66">
        <v>0.09</v>
      </c>
      <c r="C447" s="66">
        <f>Output!H447/Output!J447</f>
        <v>0.9053464016365913</v>
      </c>
      <c r="D447" s="49">
        <v>20</v>
      </c>
    </row>
    <row r="448" spans="1:4" x14ac:dyDescent="0.2">
      <c r="A448" s="49">
        <v>21</v>
      </c>
      <c r="B448" s="66">
        <v>7.0000000000000007E-2</v>
      </c>
      <c r="C448" s="66">
        <f>Output!H448/Output!J448</f>
        <v>0.95353541840601119</v>
      </c>
      <c r="D448" s="49">
        <v>21</v>
      </c>
    </row>
    <row r="449" spans="1:4" x14ac:dyDescent="0.2">
      <c r="A449" s="49">
        <v>22</v>
      </c>
      <c r="B449" s="66">
        <v>0.08</v>
      </c>
      <c r="C449" s="66">
        <f>Output!H449/Output!J449</f>
        <v>1.262720094582612</v>
      </c>
      <c r="D449" s="49">
        <v>22</v>
      </c>
    </row>
    <row r="450" spans="1:4" x14ac:dyDescent="0.2">
      <c r="A450" s="49">
        <v>23</v>
      </c>
      <c r="B450" s="66">
        <v>0.08</v>
      </c>
      <c r="C450" s="66">
        <f>Output!H450/Output!J450</f>
        <v>1.3125246937969182</v>
      </c>
      <c r="D450" s="49">
        <v>23</v>
      </c>
    </row>
    <row r="451" spans="1:4" x14ac:dyDescent="0.2">
      <c r="A451" s="49">
        <v>19</v>
      </c>
      <c r="B451" s="66"/>
      <c r="C451" s="66">
        <f>Output!H451/Output!J451</f>
        <v>0.37791155416126648</v>
      </c>
      <c r="D451" s="49">
        <v>19</v>
      </c>
    </row>
    <row r="452" spans="1:4" x14ac:dyDescent="0.2">
      <c r="A452" s="49">
        <v>20</v>
      </c>
      <c r="B452" s="66">
        <v>8.6699999999999999E-2</v>
      </c>
      <c r="C452" s="66">
        <f>Output!H452/Output!J452</f>
        <v>0.4031774234487851</v>
      </c>
      <c r="D452" s="49">
        <v>20</v>
      </c>
    </row>
    <row r="453" spans="1:4" x14ac:dyDescent="0.2">
      <c r="A453" s="49">
        <v>21</v>
      </c>
      <c r="B453" s="66">
        <v>9.1399999999999995E-2</v>
      </c>
      <c r="C453" s="66">
        <f>Output!H453/Output!J453</f>
        <v>0.35113970588235288</v>
      </c>
      <c r="D453" s="49">
        <v>21</v>
      </c>
    </row>
    <row r="454" spans="1:4" x14ac:dyDescent="0.2">
      <c r="A454" s="49">
        <v>22</v>
      </c>
      <c r="B454" s="66">
        <v>0.105</v>
      </c>
      <c r="C454" s="66">
        <f>Output!H454/Output!J454</f>
        <v>0.62737388724035603</v>
      </c>
      <c r="D454" s="49">
        <v>22</v>
      </c>
    </row>
    <row r="455" spans="1:4" x14ac:dyDescent="0.2">
      <c r="A455" s="49">
        <v>23</v>
      </c>
      <c r="B455" s="66">
        <v>0.1143</v>
      </c>
      <c r="C455" s="66">
        <f>Output!H455/Output!J455</f>
        <v>0.53656015323340733</v>
      </c>
      <c r="D455" s="49">
        <v>23</v>
      </c>
    </row>
    <row r="456" spans="1:4" x14ac:dyDescent="0.2">
      <c r="A456" s="49">
        <v>19</v>
      </c>
      <c r="B456" s="66">
        <v>4.7300000000000002E-2</v>
      </c>
      <c r="C456" s="66">
        <f>Output!H456/Output!J456</f>
        <v>0.83140390571798872</v>
      </c>
      <c r="D456" s="49">
        <v>19</v>
      </c>
    </row>
    <row r="457" spans="1:4" x14ac:dyDescent="0.2">
      <c r="A457" s="49">
        <v>20</v>
      </c>
      <c r="B457" s="66">
        <v>5.1799999999999999E-2</v>
      </c>
      <c r="C457" s="66">
        <f>Output!H457/Output!J457</f>
        <v>1.0075911897638297</v>
      </c>
      <c r="D457" s="49">
        <v>20</v>
      </c>
    </row>
    <row r="458" spans="1:4" x14ac:dyDescent="0.2">
      <c r="A458" s="49">
        <v>21</v>
      </c>
      <c r="B458" s="66">
        <v>5.0999999999999997E-2</v>
      </c>
      <c r="C458" s="66">
        <f>Output!H458/Output!J458</f>
        <v>0.82126046672942576</v>
      </c>
      <c r="D458" s="49">
        <v>21</v>
      </c>
    </row>
    <row r="459" spans="1:4" x14ac:dyDescent="0.2">
      <c r="A459" s="49">
        <v>22</v>
      </c>
      <c r="B459" s="66">
        <v>6.6500000000000004E-2</v>
      </c>
      <c r="C459" s="66">
        <f>Output!H459/Output!J459</f>
        <v>0.78741885770326436</v>
      </c>
      <c r="D459" s="49">
        <v>22</v>
      </c>
    </row>
    <row r="460" spans="1:4" x14ac:dyDescent="0.2">
      <c r="A460" s="49">
        <v>23</v>
      </c>
      <c r="B460" s="66">
        <v>6.0600000000000001E-2</v>
      </c>
      <c r="C460" s="66">
        <f>Output!H460/Output!J460</f>
        <v>0.81878202970111846</v>
      </c>
      <c r="D460" s="49">
        <v>23</v>
      </c>
    </row>
    <row r="461" spans="1:4" x14ac:dyDescent="0.2">
      <c r="A461" s="49">
        <v>19</v>
      </c>
      <c r="B461" s="66">
        <v>9.6000000000000002E-2</v>
      </c>
      <c r="C461" s="66">
        <f>Output!H461/Output!J461</f>
        <v>1.0669745958429562</v>
      </c>
      <c r="D461" s="49">
        <v>19</v>
      </c>
    </row>
    <row r="462" spans="1:4" x14ac:dyDescent="0.2">
      <c r="A462" s="49">
        <v>20</v>
      </c>
      <c r="B462" s="66">
        <v>9.8000000000000004E-2</v>
      </c>
      <c r="C462" s="66">
        <f>Output!H462/Output!J462</f>
        <v>0.81020369312773655</v>
      </c>
      <c r="D462" s="49">
        <v>20</v>
      </c>
    </row>
    <row r="463" spans="1:4" x14ac:dyDescent="0.2">
      <c r="A463" s="49">
        <v>21</v>
      </c>
      <c r="B463" s="66">
        <v>8.3000000000000004E-2</v>
      </c>
      <c r="C463" s="66">
        <f>Output!H463/Output!J463</f>
        <v>0.77695614789337919</v>
      </c>
      <c r="D463" s="49">
        <v>21</v>
      </c>
    </row>
    <row r="464" spans="1:4" x14ac:dyDescent="0.2">
      <c r="A464" s="49">
        <v>22</v>
      </c>
      <c r="B464" s="66">
        <v>8.8999999999999996E-2</v>
      </c>
      <c r="C464" s="66">
        <f>Output!H464/Output!J464</f>
        <v>0.75736303982908593</v>
      </c>
      <c r="D464" s="49">
        <v>22</v>
      </c>
    </row>
    <row r="465" spans="1:4" x14ac:dyDescent="0.2">
      <c r="A465" s="49">
        <v>23</v>
      </c>
      <c r="B465" s="66">
        <v>9.9000000000000005E-2</v>
      </c>
      <c r="C465" s="66">
        <f>Output!H465/Output!J465</f>
        <v>0.70915462111257122</v>
      </c>
      <c r="D465" s="49">
        <v>23</v>
      </c>
    </row>
    <row r="466" spans="1:4" x14ac:dyDescent="0.2">
      <c r="A466" s="49">
        <v>19</v>
      </c>
      <c r="B466" s="66">
        <v>7.6999999999999999E-2</v>
      </c>
      <c r="C466" s="66">
        <f>Output!H466/Output!J466</f>
        <v>0.65710569550930997</v>
      </c>
      <c r="D466" s="49">
        <v>19</v>
      </c>
    </row>
    <row r="467" spans="1:4" x14ac:dyDescent="0.2">
      <c r="A467" s="49">
        <v>20</v>
      </c>
      <c r="B467" s="66">
        <v>7.6999999999999999E-2</v>
      </c>
      <c r="C467" s="66">
        <f>Output!H467/Output!J467</f>
        <v>0.61727414061150454</v>
      </c>
      <c r="D467" s="49">
        <v>20</v>
      </c>
    </row>
    <row r="468" spans="1:4" x14ac:dyDescent="0.2">
      <c r="A468" s="49">
        <v>21</v>
      </c>
      <c r="B468" s="66">
        <v>7.6999999999999999E-2</v>
      </c>
      <c r="C468" s="66">
        <f>Output!H468/Output!J468</f>
        <v>0.56962715974537736</v>
      </c>
      <c r="D468" s="49">
        <v>21</v>
      </c>
    </row>
    <row r="469" spans="1:4" x14ac:dyDescent="0.2">
      <c r="A469" s="49">
        <v>22</v>
      </c>
      <c r="B469" s="66">
        <v>8.6999999999999994E-2</v>
      </c>
      <c r="C469" s="66">
        <f>Output!H469/Output!J469</f>
        <v>0.55541326503388289</v>
      </c>
      <c r="D469" s="49">
        <v>22</v>
      </c>
    </row>
    <row r="470" spans="1:4" x14ac:dyDescent="0.2">
      <c r="A470" s="49">
        <v>23</v>
      </c>
      <c r="B470" s="66">
        <v>8.6999999999999994E-2</v>
      </c>
      <c r="C470" s="66">
        <f>Output!H470/Output!J470</f>
        <v>0.49113177700014382</v>
      </c>
      <c r="D470" s="49">
        <v>23</v>
      </c>
    </row>
    <row r="471" spans="1:4" x14ac:dyDescent="0.2">
      <c r="A471" s="49">
        <v>19</v>
      </c>
      <c r="B471" s="66">
        <v>8.5000000000000006E-2</v>
      </c>
      <c r="C471" s="66">
        <f>Output!H471/Output!J471</f>
        <v>0.86236286236286241</v>
      </c>
      <c r="D471" s="49">
        <v>19</v>
      </c>
    </row>
    <row r="472" spans="1:4" x14ac:dyDescent="0.2">
      <c r="A472" s="49">
        <v>20</v>
      </c>
      <c r="B472" s="66">
        <v>8.5000000000000006E-2</v>
      </c>
      <c r="C472" s="66">
        <f>Output!H472/Output!J472</f>
        <v>0.77184026931154093</v>
      </c>
      <c r="D472" s="49">
        <v>20</v>
      </c>
    </row>
    <row r="473" spans="1:4" x14ac:dyDescent="0.2">
      <c r="A473" s="49">
        <v>21</v>
      </c>
      <c r="B473" s="66">
        <v>8.5000000000000006E-2</v>
      </c>
      <c r="C473" s="66">
        <f>Output!H473/Output!J473</f>
        <v>0.61814651918895924</v>
      </c>
      <c r="D473" s="49">
        <v>21</v>
      </c>
    </row>
    <row r="474" spans="1:4" x14ac:dyDescent="0.2">
      <c r="A474" s="49">
        <v>22</v>
      </c>
      <c r="B474" s="66">
        <v>8.5000000000000006E-2</v>
      </c>
      <c r="C474" s="66">
        <f>Output!H474/Output!J474</f>
        <v>0.56014174836530162</v>
      </c>
      <c r="D474" s="49">
        <v>22</v>
      </c>
    </row>
    <row r="475" spans="1:4" x14ac:dyDescent="0.2">
      <c r="A475" s="49">
        <v>23</v>
      </c>
      <c r="B475" s="66">
        <v>8.5000000000000006E-2</v>
      </c>
      <c r="C475" s="66">
        <f>Output!H475/Output!J475</f>
        <v>0.60138130246056598</v>
      </c>
      <c r="D475" s="49">
        <v>23</v>
      </c>
    </row>
    <row r="476" spans="1:4" x14ac:dyDescent="0.2">
      <c r="A476" s="49">
        <v>19</v>
      </c>
      <c r="B476" s="66">
        <v>0.08</v>
      </c>
      <c r="C476" s="66">
        <f>Output!H476/Output!J476</f>
        <v>0.47095956735417172</v>
      </c>
      <c r="D476" s="49">
        <v>19</v>
      </c>
    </row>
    <row r="477" spans="1:4" x14ac:dyDescent="0.2">
      <c r="A477" s="49">
        <v>20</v>
      </c>
      <c r="B477" s="66">
        <v>0.08</v>
      </c>
      <c r="C477" s="66">
        <f>Output!H477/Output!J477</f>
        <v>0.44080848546565227</v>
      </c>
      <c r="D477" s="49">
        <v>20</v>
      </c>
    </row>
    <row r="478" spans="1:4" x14ac:dyDescent="0.2">
      <c r="A478" s="49">
        <v>21</v>
      </c>
      <c r="B478" s="66">
        <v>0.08</v>
      </c>
      <c r="C478" s="66">
        <f>Output!H478/Output!J478</f>
        <v>0.25079075287563068</v>
      </c>
      <c r="D478" s="49">
        <v>21</v>
      </c>
    </row>
    <row r="479" spans="1:4" x14ac:dyDescent="0.2">
      <c r="A479" s="49">
        <v>22</v>
      </c>
      <c r="B479" s="66">
        <v>0.08</v>
      </c>
      <c r="C479" s="66">
        <f>Output!H479/Output!J479</f>
        <v>0.37308228009780187</v>
      </c>
      <c r="D479" s="49">
        <v>22</v>
      </c>
    </row>
    <row r="480" spans="1:4" x14ac:dyDescent="0.2">
      <c r="A480" s="49">
        <v>23</v>
      </c>
      <c r="B480" s="66">
        <v>9.7000000000000003E-2</v>
      </c>
      <c r="C480" s="66">
        <f>Output!H480/Output!J480</f>
        <v>0.35145841991965876</v>
      </c>
      <c r="D480" s="49">
        <v>23</v>
      </c>
    </row>
    <row r="481" spans="1:4" x14ac:dyDescent="0.2">
      <c r="A481" s="49">
        <v>19</v>
      </c>
      <c r="B481" s="66">
        <v>8.7999999999999995E-2</v>
      </c>
      <c r="C481" s="66">
        <f>Output!H481/Output!J481</f>
        <v>1.6104529616724739</v>
      </c>
      <c r="D481" s="49">
        <v>19</v>
      </c>
    </row>
    <row r="482" spans="1:4" x14ac:dyDescent="0.2">
      <c r="A482" s="49">
        <v>20</v>
      </c>
      <c r="B482" s="66">
        <v>9.2999999999999999E-2</v>
      </c>
      <c r="C482" s="66">
        <f>Output!H482/Output!J482</f>
        <v>0.40451174289245984</v>
      </c>
      <c r="D482" s="49">
        <v>20</v>
      </c>
    </row>
    <row r="483" spans="1:4" x14ac:dyDescent="0.2">
      <c r="A483" s="49">
        <v>21</v>
      </c>
      <c r="B483" s="66">
        <v>0.106</v>
      </c>
      <c r="C483" s="66">
        <f>Output!H483/Output!J483</f>
        <v>0.16075934158356361</v>
      </c>
      <c r="D483" s="49">
        <v>21</v>
      </c>
    </row>
    <row r="484" spans="1:4" x14ac:dyDescent="0.2">
      <c r="A484" s="49">
        <v>22</v>
      </c>
      <c r="B484" s="66">
        <v>0.115</v>
      </c>
      <c r="C484" s="66">
        <f>Output!H484/Output!J484</f>
        <v>0.20255863539445629</v>
      </c>
      <c r="D484" s="49">
        <v>22</v>
      </c>
    </row>
    <row r="485" spans="1:4" x14ac:dyDescent="0.2">
      <c r="A485" s="49">
        <v>23</v>
      </c>
      <c r="B485" s="66">
        <v>0.153</v>
      </c>
      <c r="C485" s="66">
        <f>Output!H485/Output!J485</f>
        <v>-1.1862385321100917</v>
      </c>
      <c r="D485" s="49">
        <v>23</v>
      </c>
    </row>
    <row r="486" spans="1:4" x14ac:dyDescent="0.2">
      <c r="A486" s="49">
        <v>19</v>
      </c>
      <c r="B486" s="66">
        <v>8.7999999999999995E-2</v>
      </c>
      <c r="C486" s="66">
        <f>Output!H486/Output!J486</f>
        <v>0.23736707946330676</v>
      </c>
      <c r="D486" s="49">
        <v>19</v>
      </c>
    </row>
    <row r="487" spans="1:4" x14ac:dyDescent="0.2">
      <c r="A487" s="49">
        <v>20</v>
      </c>
      <c r="B487" s="66">
        <v>9.2999999999999999E-2</v>
      </c>
      <c r="C487" s="66">
        <f>Output!H487/Output!J487</f>
        <v>0.20036023591726002</v>
      </c>
      <c r="D487" s="49">
        <v>20</v>
      </c>
    </row>
    <row r="488" spans="1:4" x14ac:dyDescent="0.2">
      <c r="A488" s="49">
        <v>21</v>
      </c>
      <c r="B488" s="66">
        <v>8.8999999999999996E-2</v>
      </c>
      <c r="C488" s="66">
        <f>Output!H488/Output!J488</f>
        <v>0.8480923889721923</v>
      </c>
      <c r="D488" s="49">
        <v>21</v>
      </c>
    </row>
    <row r="489" spans="1:4" x14ac:dyDescent="0.2">
      <c r="A489" s="49">
        <v>22</v>
      </c>
      <c r="B489" s="66">
        <v>0.09</v>
      </c>
      <c r="C489" s="66">
        <f>Output!H489/Output!J489</f>
        <v>0.82899139579349901</v>
      </c>
      <c r="D489" s="49">
        <v>22</v>
      </c>
    </row>
    <row r="490" spans="1:4" x14ac:dyDescent="0.2">
      <c r="A490" s="49">
        <v>23</v>
      </c>
      <c r="B490" s="66">
        <v>0.1</v>
      </c>
      <c r="C490" s="66">
        <f>Output!H490/Output!J490</f>
        <v>0.75389089765760098</v>
      </c>
      <c r="D490" s="49">
        <v>23</v>
      </c>
    </row>
    <row r="491" spans="1:4" x14ac:dyDescent="0.2">
      <c r="A491" s="49">
        <v>19</v>
      </c>
      <c r="B491" s="66">
        <v>8.5999999999999993E-2</v>
      </c>
      <c r="C491" s="66">
        <f>Output!H491/Output!J491</f>
        <v>0.85920884729902169</v>
      </c>
      <c r="D491" s="49">
        <v>19</v>
      </c>
    </row>
    <row r="492" spans="1:4" x14ac:dyDescent="0.2">
      <c r="A492" s="49">
        <v>20</v>
      </c>
      <c r="B492" s="66">
        <v>8.5999999999999993E-2</v>
      </c>
      <c r="C492" s="66">
        <f>Output!H492/Output!J492</f>
        <v>0.49704877291084187</v>
      </c>
      <c r="D492" s="49">
        <v>20</v>
      </c>
    </row>
    <row r="493" spans="1:4" x14ac:dyDescent="0.2">
      <c r="A493" s="49">
        <v>21</v>
      </c>
      <c r="B493" s="66">
        <v>9.7000000000000003E-2</v>
      </c>
      <c r="C493" s="66">
        <f>Output!H493/Output!J493</f>
        <v>0.78739316239316237</v>
      </c>
      <c r="D493" s="49">
        <v>21</v>
      </c>
    </row>
    <row r="494" spans="1:4" x14ac:dyDescent="0.2">
      <c r="A494" s="49">
        <v>22</v>
      </c>
      <c r="B494" s="66">
        <v>9.2999999999999999E-2</v>
      </c>
      <c r="C494" s="66">
        <f>Output!H494/Output!J494</f>
        <v>0.80604058518168953</v>
      </c>
      <c r="D494" s="49">
        <v>22</v>
      </c>
    </row>
    <row r="495" spans="1:4" x14ac:dyDescent="0.2">
      <c r="A495" s="49">
        <v>23</v>
      </c>
      <c r="B495" s="66">
        <v>9.5000000000000001E-2</v>
      </c>
      <c r="C495" s="66">
        <f>Output!H495/Output!J495</f>
        <v>0.81793354574419663</v>
      </c>
      <c r="D495" s="49">
        <v>23</v>
      </c>
    </row>
    <row r="496" spans="1:4" x14ac:dyDescent="0.2">
      <c r="A496" s="49">
        <v>19</v>
      </c>
      <c r="B496" s="66">
        <v>0.105</v>
      </c>
      <c r="C496" s="66">
        <f>Output!H496/Output!J496</f>
        <v>0.72063789329189398</v>
      </c>
      <c r="D496" s="49">
        <v>19</v>
      </c>
    </row>
    <row r="497" spans="1:4" x14ac:dyDescent="0.2">
      <c r="A497" s="49">
        <v>20</v>
      </c>
      <c r="B497" s="66">
        <v>0.113</v>
      </c>
      <c r="C497" s="66">
        <f>Output!H497/Output!J497</f>
        <v>0.59607068130329</v>
      </c>
      <c r="D497" s="49">
        <v>20</v>
      </c>
    </row>
    <row r="498" spans="1:4" x14ac:dyDescent="0.2">
      <c r="A498" s="49">
        <v>21</v>
      </c>
      <c r="B498" s="66">
        <v>0.108</v>
      </c>
      <c r="C498" s="66">
        <f>Output!H498/Output!J498</f>
        <v>0.71803746186435302</v>
      </c>
      <c r="D498" s="49">
        <v>21</v>
      </c>
    </row>
    <row r="499" spans="1:4" x14ac:dyDescent="0.2">
      <c r="A499" s="49">
        <v>22</v>
      </c>
      <c r="B499" s="66">
        <v>0.12</v>
      </c>
      <c r="C499" s="66">
        <f>Output!H499/Output!J499</f>
        <v>0.63263172271557222</v>
      </c>
      <c r="D499" s="49">
        <v>22</v>
      </c>
    </row>
    <row r="500" spans="1:4" x14ac:dyDescent="0.2">
      <c r="A500" s="49">
        <v>23</v>
      </c>
      <c r="B500" s="66">
        <v>6.7000000000000004E-2</v>
      </c>
      <c r="C500" s="66">
        <f>Output!H500/Output!J500</f>
        <v>0.68815388642097386</v>
      </c>
      <c r="D500" s="49">
        <v>23</v>
      </c>
    </row>
    <row r="501" spans="1:4" x14ac:dyDescent="0.2">
      <c r="B501" s="66"/>
    </row>
    <row r="502" spans="1:4" x14ac:dyDescent="0.2">
      <c r="B502" s="66"/>
    </row>
    <row r="503" spans="1:4" x14ac:dyDescent="0.2">
      <c r="B503" s="66"/>
    </row>
    <row r="504" spans="1:4" x14ac:dyDescent="0.2">
      <c r="B504" s="66"/>
    </row>
    <row r="505" spans="1:4" x14ac:dyDescent="0.2">
      <c r="B505" s="66"/>
    </row>
    <row r="506" spans="1:4" x14ac:dyDescent="0.2">
      <c r="B506" s="66"/>
    </row>
    <row r="507" spans="1:4" x14ac:dyDescent="0.2">
      <c r="B507" s="66"/>
    </row>
    <row r="508" spans="1:4" x14ac:dyDescent="0.2">
      <c r="B508" s="66"/>
    </row>
    <row r="509" spans="1:4" x14ac:dyDescent="0.2">
      <c r="B509" s="66"/>
    </row>
    <row r="510" spans="1:4" x14ac:dyDescent="0.2">
      <c r="B510" s="66"/>
    </row>
    <row r="511" spans="1:4" x14ac:dyDescent="0.2">
      <c r="B511" s="66"/>
    </row>
    <row r="512" spans="1:4" x14ac:dyDescent="0.2">
      <c r="B512" s="66"/>
    </row>
    <row r="513" spans="2:2" x14ac:dyDescent="0.2">
      <c r="B513" s="66"/>
    </row>
    <row r="514" spans="2:2" x14ac:dyDescent="0.2">
      <c r="B514" s="66"/>
    </row>
    <row r="515" spans="2:2" x14ac:dyDescent="0.2">
      <c r="B515" s="66"/>
    </row>
    <row r="516" spans="2:2" x14ac:dyDescent="0.2">
      <c r="B516" s="66"/>
    </row>
    <row r="517" spans="2:2" x14ac:dyDescent="0.2">
      <c r="B517" s="66"/>
    </row>
    <row r="518" spans="2:2" x14ac:dyDescent="0.2">
      <c r="B518" s="66"/>
    </row>
    <row r="519" spans="2:2" x14ac:dyDescent="0.2">
      <c r="B519" s="66"/>
    </row>
    <row r="520" spans="2:2" x14ac:dyDescent="0.2">
      <c r="B520" s="66"/>
    </row>
    <row r="521" spans="2:2" x14ac:dyDescent="0.2">
      <c r="B521" s="66"/>
    </row>
    <row r="522" spans="2:2" x14ac:dyDescent="0.2">
      <c r="B522" s="66"/>
    </row>
    <row r="523" spans="2:2" x14ac:dyDescent="0.2">
      <c r="B523" s="66"/>
    </row>
    <row r="524" spans="2:2" x14ac:dyDescent="0.2">
      <c r="B524" s="66"/>
    </row>
    <row r="525" spans="2:2" x14ac:dyDescent="0.2">
      <c r="B525" s="66"/>
    </row>
    <row r="526" spans="2:2" x14ac:dyDescent="0.2">
      <c r="B526" s="66"/>
    </row>
    <row r="527" spans="2:2" x14ac:dyDescent="0.2">
      <c r="B527" s="66"/>
    </row>
    <row r="528" spans="2:2" x14ac:dyDescent="0.2">
      <c r="B528" s="66"/>
    </row>
    <row r="529" spans="2:2" x14ac:dyDescent="0.2">
      <c r="B529" s="66"/>
    </row>
    <row r="530" spans="2:2" x14ac:dyDescent="0.2">
      <c r="B530" s="66"/>
    </row>
    <row r="531" spans="2:2" x14ac:dyDescent="0.2">
      <c r="B531" s="66"/>
    </row>
    <row r="532" spans="2:2" x14ac:dyDescent="0.2">
      <c r="B532" s="66"/>
    </row>
    <row r="533" spans="2:2" x14ac:dyDescent="0.2">
      <c r="B533" s="66"/>
    </row>
    <row r="534" spans="2:2" x14ac:dyDescent="0.2">
      <c r="B534" s="66"/>
    </row>
    <row r="535" spans="2:2" x14ac:dyDescent="0.2">
      <c r="B535" s="66"/>
    </row>
    <row r="536" spans="2:2" x14ac:dyDescent="0.2">
      <c r="B536" s="66"/>
    </row>
    <row r="537" spans="2:2" x14ac:dyDescent="0.2">
      <c r="B537" s="66"/>
    </row>
    <row r="538" spans="2:2" x14ac:dyDescent="0.2">
      <c r="B538" s="66"/>
    </row>
    <row r="539" spans="2:2" x14ac:dyDescent="0.2">
      <c r="B539" s="66"/>
    </row>
    <row r="540" spans="2:2" x14ac:dyDescent="0.2">
      <c r="B540" s="66"/>
    </row>
    <row r="541" spans="2:2" x14ac:dyDescent="0.2">
      <c r="B541" s="66"/>
    </row>
    <row r="542" spans="2:2" x14ac:dyDescent="0.2">
      <c r="B542" s="66"/>
    </row>
    <row r="543" spans="2:2" x14ac:dyDescent="0.2">
      <c r="B543" s="66"/>
    </row>
    <row r="544" spans="2:2" x14ac:dyDescent="0.2">
      <c r="B544" s="66"/>
    </row>
    <row r="545" spans="2:2" x14ac:dyDescent="0.2">
      <c r="B545" s="66"/>
    </row>
    <row r="546" spans="2:2" x14ac:dyDescent="0.2">
      <c r="B546" s="66"/>
    </row>
    <row r="547" spans="2:2" x14ac:dyDescent="0.2">
      <c r="B547" s="66"/>
    </row>
    <row r="548" spans="2:2" x14ac:dyDescent="0.2">
      <c r="B548" s="66"/>
    </row>
    <row r="549" spans="2:2" x14ac:dyDescent="0.2">
      <c r="B549" s="66"/>
    </row>
    <row r="550" spans="2:2" x14ac:dyDescent="0.2">
      <c r="B550" s="66"/>
    </row>
    <row r="551" spans="2:2" x14ac:dyDescent="0.2">
      <c r="B551" s="66"/>
    </row>
    <row r="552" spans="2:2" x14ac:dyDescent="0.2">
      <c r="B552" s="66"/>
    </row>
    <row r="553" spans="2:2" x14ac:dyDescent="0.2">
      <c r="B553" s="66"/>
    </row>
    <row r="554" spans="2:2" x14ac:dyDescent="0.2">
      <c r="B554" s="66"/>
    </row>
    <row r="555" spans="2:2" x14ac:dyDescent="0.2">
      <c r="B555" s="66"/>
    </row>
    <row r="556" spans="2:2" x14ac:dyDescent="0.2">
      <c r="B556" s="66"/>
    </row>
    <row r="557" spans="2:2" x14ac:dyDescent="0.2">
      <c r="B557" s="66"/>
    </row>
    <row r="558" spans="2:2" x14ac:dyDescent="0.2">
      <c r="B558" s="66"/>
    </row>
    <row r="559" spans="2:2" x14ac:dyDescent="0.2">
      <c r="B559" s="66"/>
    </row>
    <row r="560" spans="2:2" x14ac:dyDescent="0.2">
      <c r="B560" s="66"/>
    </row>
    <row r="561" spans="2:2" x14ac:dyDescent="0.2">
      <c r="B561" s="66"/>
    </row>
    <row r="562" spans="2:2" x14ac:dyDescent="0.2">
      <c r="B562" s="66"/>
    </row>
    <row r="563" spans="2:2" x14ac:dyDescent="0.2">
      <c r="B563" s="66"/>
    </row>
    <row r="564" spans="2:2" x14ac:dyDescent="0.2">
      <c r="B564" s="66"/>
    </row>
    <row r="565" spans="2:2" x14ac:dyDescent="0.2">
      <c r="B565" s="66"/>
    </row>
    <row r="566" spans="2:2" x14ac:dyDescent="0.2">
      <c r="B566" s="66"/>
    </row>
    <row r="567" spans="2:2" x14ac:dyDescent="0.2">
      <c r="B567" s="66"/>
    </row>
    <row r="568" spans="2:2" x14ac:dyDescent="0.2">
      <c r="B568" s="66"/>
    </row>
    <row r="569" spans="2:2" x14ac:dyDescent="0.2">
      <c r="B569" s="66"/>
    </row>
    <row r="570" spans="2:2" x14ac:dyDescent="0.2">
      <c r="B570" s="66"/>
    </row>
    <row r="571" spans="2:2" x14ac:dyDescent="0.2">
      <c r="B571" s="66"/>
    </row>
    <row r="572" spans="2:2" x14ac:dyDescent="0.2">
      <c r="B572" s="66"/>
    </row>
    <row r="573" spans="2:2" x14ac:dyDescent="0.2">
      <c r="B573" s="66"/>
    </row>
    <row r="574" spans="2:2" x14ac:dyDescent="0.2">
      <c r="B574" s="66"/>
    </row>
    <row r="575" spans="2:2" x14ac:dyDescent="0.2">
      <c r="B575" s="66"/>
    </row>
    <row r="576" spans="2:2" x14ac:dyDescent="0.2">
      <c r="B576" s="66"/>
    </row>
    <row r="577" spans="2:2" x14ac:dyDescent="0.2">
      <c r="B577" s="66"/>
    </row>
    <row r="578" spans="2:2" x14ac:dyDescent="0.2">
      <c r="B578" s="66"/>
    </row>
    <row r="579" spans="2:2" x14ac:dyDescent="0.2">
      <c r="B579" s="66"/>
    </row>
    <row r="580" spans="2:2" x14ac:dyDescent="0.2">
      <c r="B580" s="66"/>
    </row>
    <row r="581" spans="2:2" x14ac:dyDescent="0.2">
      <c r="B581" s="66"/>
    </row>
    <row r="582" spans="2:2" x14ac:dyDescent="0.2">
      <c r="B582" s="66"/>
    </row>
    <row r="583" spans="2:2" x14ac:dyDescent="0.2">
      <c r="B583" s="66"/>
    </row>
    <row r="584" spans="2:2" x14ac:dyDescent="0.2">
      <c r="B584" s="66"/>
    </row>
    <row r="585" spans="2:2" x14ac:dyDescent="0.2">
      <c r="B585" s="66"/>
    </row>
    <row r="586" spans="2:2" x14ac:dyDescent="0.2">
      <c r="B586" s="66"/>
    </row>
    <row r="587" spans="2:2" x14ac:dyDescent="0.2">
      <c r="B587" s="66"/>
    </row>
    <row r="588" spans="2:2" x14ac:dyDescent="0.2">
      <c r="B588" s="66"/>
    </row>
    <row r="589" spans="2:2" x14ac:dyDescent="0.2">
      <c r="B589" s="66"/>
    </row>
    <row r="590" spans="2:2" x14ac:dyDescent="0.2">
      <c r="B590" s="66"/>
    </row>
    <row r="591" spans="2:2" x14ac:dyDescent="0.2">
      <c r="B591" s="66"/>
    </row>
    <row r="592" spans="2:2" x14ac:dyDescent="0.2">
      <c r="B592" s="66"/>
    </row>
    <row r="593" spans="2:2" x14ac:dyDescent="0.2">
      <c r="B593" s="66"/>
    </row>
    <row r="594" spans="2:2" x14ac:dyDescent="0.2">
      <c r="B594" s="66"/>
    </row>
    <row r="595" spans="2:2" x14ac:dyDescent="0.2">
      <c r="B595" s="66"/>
    </row>
    <row r="596" spans="2:2" x14ac:dyDescent="0.2">
      <c r="B596" s="66"/>
    </row>
    <row r="597" spans="2:2" x14ac:dyDescent="0.2">
      <c r="B597" s="66"/>
    </row>
    <row r="598" spans="2:2" x14ac:dyDescent="0.2">
      <c r="B598" s="66"/>
    </row>
    <row r="599" spans="2:2" x14ac:dyDescent="0.2">
      <c r="B599" s="66"/>
    </row>
    <row r="600" spans="2:2" x14ac:dyDescent="0.2">
      <c r="B600" s="66"/>
    </row>
    <row r="601" spans="2:2" x14ac:dyDescent="0.2">
      <c r="B601" s="66"/>
    </row>
    <row r="602" spans="2:2" x14ac:dyDescent="0.2">
      <c r="B602" s="66"/>
    </row>
    <row r="603" spans="2:2" x14ac:dyDescent="0.2">
      <c r="B603" s="66"/>
    </row>
    <row r="604" spans="2:2" x14ac:dyDescent="0.2">
      <c r="B604" s="66"/>
    </row>
    <row r="605" spans="2:2" x14ac:dyDescent="0.2">
      <c r="B605" s="66"/>
    </row>
    <row r="606" spans="2:2" x14ac:dyDescent="0.2">
      <c r="B606" s="66"/>
    </row>
    <row r="607" spans="2:2" x14ac:dyDescent="0.2">
      <c r="B607" s="66"/>
    </row>
    <row r="608" spans="2:2" x14ac:dyDescent="0.2">
      <c r="B608" s="66"/>
    </row>
    <row r="609" spans="2:2" x14ac:dyDescent="0.2">
      <c r="B609" s="66"/>
    </row>
    <row r="610" spans="2:2" x14ac:dyDescent="0.2">
      <c r="B610" s="66"/>
    </row>
    <row r="611" spans="2:2" x14ac:dyDescent="0.2">
      <c r="B611" s="66"/>
    </row>
    <row r="612" spans="2:2" x14ac:dyDescent="0.2">
      <c r="B612" s="66"/>
    </row>
    <row r="613" spans="2:2" x14ac:dyDescent="0.2">
      <c r="B613" s="66"/>
    </row>
    <row r="614" spans="2:2" x14ac:dyDescent="0.2">
      <c r="B614" s="66"/>
    </row>
    <row r="615" spans="2:2" x14ac:dyDescent="0.2">
      <c r="B615" s="66"/>
    </row>
    <row r="616" spans="2:2" x14ac:dyDescent="0.2">
      <c r="B616" s="66"/>
    </row>
    <row r="617" spans="2:2" x14ac:dyDescent="0.2">
      <c r="B617" s="66"/>
    </row>
    <row r="618" spans="2:2" x14ac:dyDescent="0.2">
      <c r="B618" s="66"/>
    </row>
    <row r="619" spans="2:2" x14ac:dyDescent="0.2">
      <c r="B619" s="66"/>
    </row>
    <row r="620" spans="2:2" x14ac:dyDescent="0.2">
      <c r="B620" s="66"/>
    </row>
    <row r="621" spans="2:2" x14ac:dyDescent="0.2">
      <c r="B621" s="66"/>
    </row>
    <row r="622" spans="2:2" x14ac:dyDescent="0.2">
      <c r="B622" s="66"/>
    </row>
    <row r="623" spans="2:2" x14ac:dyDescent="0.2">
      <c r="B623" s="66"/>
    </row>
    <row r="624" spans="2:2" x14ac:dyDescent="0.2">
      <c r="B624" s="66"/>
    </row>
    <row r="625" spans="2:2" x14ac:dyDescent="0.2">
      <c r="B625" s="66"/>
    </row>
    <row r="626" spans="2:2" x14ac:dyDescent="0.2">
      <c r="B626" s="66"/>
    </row>
    <row r="627" spans="2:2" x14ac:dyDescent="0.2">
      <c r="B627" s="66"/>
    </row>
    <row r="628" spans="2:2" x14ac:dyDescent="0.2">
      <c r="B628" s="66"/>
    </row>
    <row r="629" spans="2:2" x14ac:dyDescent="0.2">
      <c r="B629" s="66"/>
    </row>
    <row r="630" spans="2:2" x14ac:dyDescent="0.2">
      <c r="B630" s="66"/>
    </row>
    <row r="631" spans="2:2" x14ac:dyDescent="0.2">
      <c r="B631" s="66"/>
    </row>
    <row r="632" spans="2:2" x14ac:dyDescent="0.2">
      <c r="B632" s="66"/>
    </row>
    <row r="633" spans="2:2" x14ac:dyDescent="0.2">
      <c r="B633" s="66"/>
    </row>
    <row r="634" spans="2:2" x14ac:dyDescent="0.2">
      <c r="B634" s="66"/>
    </row>
    <row r="635" spans="2:2" x14ac:dyDescent="0.2">
      <c r="B635" s="66"/>
    </row>
    <row r="636" spans="2:2" x14ac:dyDescent="0.2">
      <c r="B636" s="66"/>
    </row>
    <row r="637" spans="2:2" x14ac:dyDescent="0.2">
      <c r="B637" s="66"/>
    </row>
    <row r="638" spans="2:2" x14ac:dyDescent="0.2">
      <c r="B638" s="66"/>
    </row>
    <row r="639" spans="2:2" x14ac:dyDescent="0.2">
      <c r="B639" s="66"/>
    </row>
    <row r="640" spans="2:2" x14ac:dyDescent="0.2">
      <c r="B640" s="66"/>
    </row>
    <row r="641" spans="2:2" x14ac:dyDescent="0.2">
      <c r="B641" s="66"/>
    </row>
    <row r="642" spans="2:2" x14ac:dyDescent="0.2">
      <c r="B642" s="66"/>
    </row>
    <row r="643" spans="2:2" x14ac:dyDescent="0.2">
      <c r="B643" s="66"/>
    </row>
    <row r="644" spans="2:2" x14ac:dyDescent="0.2">
      <c r="B644" s="66"/>
    </row>
    <row r="645" spans="2:2" x14ac:dyDescent="0.2">
      <c r="B645" s="66"/>
    </row>
    <row r="646" spans="2:2" x14ac:dyDescent="0.2">
      <c r="B646" s="66"/>
    </row>
    <row r="647" spans="2:2" x14ac:dyDescent="0.2">
      <c r="B647" s="66"/>
    </row>
    <row r="648" spans="2:2" x14ac:dyDescent="0.2">
      <c r="B648" s="66"/>
    </row>
    <row r="649" spans="2:2" x14ac:dyDescent="0.2">
      <c r="B649" s="66"/>
    </row>
    <row r="650" spans="2:2" x14ac:dyDescent="0.2">
      <c r="B650" s="66"/>
    </row>
    <row r="651" spans="2:2" x14ac:dyDescent="0.2">
      <c r="B651" s="66"/>
    </row>
    <row r="652" spans="2:2" x14ac:dyDescent="0.2">
      <c r="B652" s="66"/>
    </row>
    <row r="653" spans="2:2" x14ac:dyDescent="0.2">
      <c r="B653" s="66"/>
    </row>
    <row r="654" spans="2:2" x14ac:dyDescent="0.2">
      <c r="B654" s="66"/>
    </row>
    <row r="655" spans="2:2" x14ac:dyDescent="0.2">
      <c r="B655" s="66"/>
    </row>
    <row r="656" spans="2:2" x14ac:dyDescent="0.2">
      <c r="B656" s="66"/>
    </row>
    <row r="657" spans="2:2" x14ac:dyDescent="0.2">
      <c r="B657" s="66"/>
    </row>
    <row r="658" spans="2:2" x14ac:dyDescent="0.2">
      <c r="B658" s="66"/>
    </row>
    <row r="659" spans="2:2" x14ac:dyDescent="0.2">
      <c r="B659" s="66"/>
    </row>
    <row r="660" spans="2:2" x14ac:dyDescent="0.2">
      <c r="B660" s="66"/>
    </row>
    <row r="661" spans="2:2" x14ac:dyDescent="0.2">
      <c r="B661" s="66"/>
    </row>
    <row r="662" spans="2:2" x14ac:dyDescent="0.2">
      <c r="B662" s="66"/>
    </row>
    <row r="663" spans="2:2" x14ac:dyDescent="0.2">
      <c r="B663" s="66"/>
    </row>
    <row r="664" spans="2:2" x14ac:dyDescent="0.2">
      <c r="B664" s="66"/>
    </row>
    <row r="665" spans="2:2" x14ac:dyDescent="0.2">
      <c r="B665" s="66"/>
    </row>
    <row r="666" spans="2:2" x14ac:dyDescent="0.2">
      <c r="B666" s="66"/>
    </row>
    <row r="667" spans="2:2" x14ac:dyDescent="0.2">
      <c r="B667" s="66"/>
    </row>
    <row r="668" spans="2:2" x14ac:dyDescent="0.2">
      <c r="B668" s="66"/>
    </row>
    <row r="669" spans="2:2" x14ac:dyDescent="0.2">
      <c r="B669" s="66"/>
    </row>
    <row r="670" spans="2:2" x14ac:dyDescent="0.2">
      <c r="B670" s="66"/>
    </row>
    <row r="671" spans="2:2" x14ac:dyDescent="0.2">
      <c r="B671" s="66"/>
    </row>
    <row r="672" spans="2:2" x14ac:dyDescent="0.2">
      <c r="B672" s="66"/>
    </row>
    <row r="673" spans="2:2" x14ac:dyDescent="0.2">
      <c r="B673" s="66"/>
    </row>
    <row r="674" spans="2:2" x14ac:dyDescent="0.2">
      <c r="B674" s="66"/>
    </row>
    <row r="675" spans="2:2" x14ac:dyDescent="0.2">
      <c r="B675" s="66"/>
    </row>
    <row r="676" spans="2:2" x14ac:dyDescent="0.2">
      <c r="B676" s="66"/>
    </row>
    <row r="677" spans="2:2" x14ac:dyDescent="0.2">
      <c r="B677" s="66"/>
    </row>
    <row r="678" spans="2:2" x14ac:dyDescent="0.2">
      <c r="B678" s="66"/>
    </row>
    <row r="679" spans="2:2" x14ac:dyDescent="0.2">
      <c r="B679" s="66"/>
    </row>
    <row r="680" spans="2:2" x14ac:dyDescent="0.2">
      <c r="B680" s="66"/>
    </row>
    <row r="681" spans="2:2" x14ac:dyDescent="0.2">
      <c r="B681" s="66"/>
    </row>
    <row r="682" spans="2:2" x14ac:dyDescent="0.2">
      <c r="B682" s="66"/>
    </row>
    <row r="683" spans="2:2" x14ac:dyDescent="0.2">
      <c r="B683" s="66"/>
    </row>
    <row r="684" spans="2:2" x14ac:dyDescent="0.2">
      <c r="B684" s="66"/>
    </row>
    <row r="685" spans="2:2" x14ac:dyDescent="0.2">
      <c r="B685" s="66"/>
    </row>
    <row r="686" spans="2:2" x14ac:dyDescent="0.2">
      <c r="B686" s="66"/>
    </row>
    <row r="687" spans="2:2" x14ac:dyDescent="0.2">
      <c r="B687" s="66"/>
    </row>
    <row r="688" spans="2:2" x14ac:dyDescent="0.2">
      <c r="B688" s="66"/>
    </row>
    <row r="689" spans="2:2" x14ac:dyDescent="0.2">
      <c r="B689" s="66"/>
    </row>
    <row r="690" spans="2:2" x14ac:dyDescent="0.2">
      <c r="B690" s="66"/>
    </row>
    <row r="691" spans="2:2" x14ac:dyDescent="0.2">
      <c r="B691" s="66"/>
    </row>
    <row r="692" spans="2:2" x14ac:dyDescent="0.2">
      <c r="B692" s="66"/>
    </row>
    <row r="693" spans="2:2" x14ac:dyDescent="0.2">
      <c r="B693" s="66"/>
    </row>
    <row r="694" spans="2:2" x14ac:dyDescent="0.2">
      <c r="B694" s="66"/>
    </row>
    <row r="695" spans="2:2" x14ac:dyDescent="0.2">
      <c r="B695" s="66"/>
    </row>
    <row r="696" spans="2:2" x14ac:dyDescent="0.2">
      <c r="B696" s="66"/>
    </row>
    <row r="697" spans="2:2" x14ac:dyDescent="0.2">
      <c r="B697" s="66"/>
    </row>
    <row r="698" spans="2:2" x14ac:dyDescent="0.2">
      <c r="B698" s="66"/>
    </row>
    <row r="699" spans="2:2" x14ac:dyDescent="0.2">
      <c r="B699" s="66"/>
    </row>
    <row r="700" spans="2:2" x14ac:dyDescent="0.2">
      <c r="B700" s="66"/>
    </row>
    <row r="701" spans="2:2" x14ac:dyDescent="0.2">
      <c r="B701" s="66"/>
    </row>
    <row r="702" spans="2:2" x14ac:dyDescent="0.2">
      <c r="B702" s="66"/>
    </row>
    <row r="703" spans="2:2" x14ac:dyDescent="0.2">
      <c r="B703" s="66"/>
    </row>
    <row r="704" spans="2:2" x14ac:dyDescent="0.2">
      <c r="B704" s="66"/>
    </row>
    <row r="705" spans="2:2" x14ac:dyDescent="0.2">
      <c r="B705" s="66"/>
    </row>
    <row r="706" spans="2:2" x14ac:dyDescent="0.2">
      <c r="B706" s="66"/>
    </row>
    <row r="707" spans="2:2" x14ac:dyDescent="0.2">
      <c r="B707" s="66"/>
    </row>
    <row r="708" spans="2:2" x14ac:dyDescent="0.2">
      <c r="B708" s="66"/>
    </row>
    <row r="709" spans="2:2" x14ac:dyDescent="0.2">
      <c r="B709" s="66"/>
    </row>
    <row r="710" spans="2:2" x14ac:dyDescent="0.2">
      <c r="B710" s="66"/>
    </row>
    <row r="711" spans="2:2" x14ac:dyDescent="0.2">
      <c r="B711" s="66"/>
    </row>
    <row r="712" spans="2:2" x14ac:dyDescent="0.2">
      <c r="B712" s="66"/>
    </row>
    <row r="713" spans="2:2" x14ac:dyDescent="0.2">
      <c r="B713" s="66"/>
    </row>
    <row r="714" spans="2:2" x14ac:dyDescent="0.2">
      <c r="B714" s="66"/>
    </row>
    <row r="715" spans="2:2" x14ac:dyDescent="0.2">
      <c r="B715" s="66"/>
    </row>
    <row r="716" spans="2:2" x14ac:dyDescent="0.2">
      <c r="B716" s="66"/>
    </row>
    <row r="717" spans="2:2" x14ac:dyDescent="0.2">
      <c r="B717" s="66"/>
    </row>
    <row r="718" spans="2:2" x14ac:dyDescent="0.2">
      <c r="B718" s="66"/>
    </row>
    <row r="719" spans="2:2" x14ac:dyDescent="0.2">
      <c r="B719" s="66"/>
    </row>
    <row r="720" spans="2:2" x14ac:dyDescent="0.2">
      <c r="B720" s="66"/>
    </row>
    <row r="721" spans="2:2" x14ac:dyDescent="0.2">
      <c r="B721" s="66"/>
    </row>
    <row r="722" spans="2:2" x14ac:dyDescent="0.2">
      <c r="B722" s="66"/>
    </row>
    <row r="723" spans="2:2" x14ac:dyDescent="0.2">
      <c r="B723" s="66"/>
    </row>
    <row r="724" spans="2:2" x14ac:dyDescent="0.2">
      <c r="B724" s="66"/>
    </row>
    <row r="725" spans="2:2" x14ac:dyDescent="0.2">
      <c r="B725" s="66"/>
    </row>
    <row r="726" spans="2:2" x14ac:dyDescent="0.2">
      <c r="B726" s="66"/>
    </row>
    <row r="727" spans="2:2" x14ac:dyDescent="0.2">
      <c r="B727" s="66"/>
    </row>
    <row r="728" spans="2:2" x14ac:dyDescent="0.2">
      <c r="B728" s="66"/>
    </row>
    <row r="729" spans="2:2" x14ac:dyDescent="0.2">
      <c r="B729" s="66"/>
    </row>
    <row r="730" spans="2:2" x14ac:dyDescent="0.2">
      <c r="B730" s="66"/>
    </row>
    <row r="731" spans="2:2" x14ac:dyDescent="0.2">
      <c r="B731" s="66"/>
    </row>
    <row r="732" spans="2:2" x14ac:dyDescent="0.2">
      <c r="B732" s="66"/>
    </row>
    <row r="733" spans="2:2" x14ac:dyDescent="0.2">
      <c r="B733" s="66"/>
    </row>
    <row r="734" spans="2:2" x14ac:dyDescent="0.2">
      <c r="B734" s="66"/>
    </row>
    <row r="735" spans="2:2" x14ac:dyDescent="0.2">
      <c r="B735" s="66"/>
    </row>
    <row r="736" spans="2:2" x14ac:dyDescent="0.2">
      <c r="B736" s="66"/>
    </row>
    <row r="737" spans="2:2" x14ac:dyDescent="0.2">
      <c r="B737" s="66"/>
    </row>
    <row r="738" spans="2:2" x14ac:dyDescent="0.2">
      <c r="B738" s="66"/>
    </row>
    <row r="739" spans="2:2" x14ac:dyDescent="0.2">
      <c r="B739" s="66"/>
    </row>
    <row r="740" spans="2:2" x14ac:dyDescent="0.2">
      <c r="B740" s="66"/>
    </row>
    <row r="741" spans="2:2" x14ac:dyDescent="0.2">
      <c r="B741" s="66"/>
    </row>
    <row r="742" spans="2:2" x14ac:dyDescent="0.2">
      <c r="B742" s="66"/>
    </row>
    <row r="743" spans="2:2" x14ac:dyDescent="0.2">
      <c r="B743" s="66"/>
    </row>
    <row r="744" spans="2:2" x14ac:dyDescent="0.2">
      <c r="B744" s="66"/>
    </row>
    <row r="745" spans="2:2" x14ac:dyDescent="0.2">
      <c r="B745" s="66"/>
    </row>
    <row r="746" spans="2:2" x14ac:dyDescent="0.2">
      <c r="B746" s="66"/>
    </row>
    <row r="747" spans="2:2" x14ac:dyDescent="0.2">
      <c r="B747" s="66"/>
    </row>
    <row r="748" spans="2:2" x14ac:dyDescent="0.2">
      <c r="B748" s="66"/>
    </row>
    <row r="749" spans="2:2" x14ac:dyDescent="0.2">
      <c r="B749" s="66"/>
    </row>
    <row r="750" spans="2:2" x14ac:dyDescent="0.2">
      <c r="B750" s="66"/>
    </row>
    <row r="751" spans="2:2" x14ac:dyDescent="0.2">
      <c r="B751" s="66"/>
    </row>
    <row r="752" spans="2:2" x14ac:dyDescent="0.2">
      <c r="B752" s="66"/>
    </row>
    <row r="753" spans="2:2" x14ac:dyDescent="0.2">
      <c r="B753" s="66"/>
    </row>
    <row r="754" spans="2:2" x14ac:dyDescent="0.2">
      <c r="B754" s="66"/>
    </row>
    <row r="755" spans="2:2" x14ac:dyDescent="0.2">
      <c r="B755" s="66"/>
    </row>
    <row r="756" spans="2:2" x14ac:dyDescent="0.2">
      <c r="B756" s="66"/>
    </row>
    <row r="757" spans="2:2" x14ac:dyDescent="0.2">
      <c r="B757" s="66"/>
    </row>
    <row r="758" spans="2:2" x14ac:dyDescent="0.2">
      <c r="B758" s="66"/>
    </row>
    <row r="759" spans="2:2" x14ac:dyDescent="0.2">
      <c r="B759" s="66"/>
    </row>
    <row r="760" spans="2:2" x14ac:dyDescent="0.2">
      <c r="B760" s="66"/>
    </row>
    <row r="761" spans="2:2" x14ac:dyDescent="0.2">
      <c r="B761" s="66"/>
    </row>
    <row r="762" spans="2:2" x14ac:dyDescent="0.2">
      <c r="B762" s="66"/>
    </row>
    <row r="763" spans="2:2" x14ac:dyDescent="0.2">
      <c r="B763" s="66"/>
    </row>
    <row r="764" spans="2:2" x14ac:dyDescent="0.2">
      <c r="B764" s="66"/>
    </row>
    <row r="765" spans="2:2" x14ac:dyDescent="0.2">
      <c r="B765" s="66"/>
    </row>
    <row r="766" spans="2:2" x14ac:dyDescent="0.2">
      <c r="B766" s="66"/>
    </row>
    <row r="767" spans="2:2" x14ac:dyDescent="0.2">
      <c r="B767" s="66"/>
    </row>
    <row r="768" spans="2:2" x14ac:dyDescent="0.2">
      <c r="B768" s="66"/>
    </row>
    <row r="769" spans="2:2" x14ac:dyDescent="0.2">
      <c r="B769" s="66"/>
    </row>
    <row r="770" spans="2:2" x14ac:dyDescent="0.2">
      <c r="B770" s="66"/>
    </row>
    <row r="771" spans="2:2" x14ac:dyDescent="0.2">
      <c r="B771" s="66"/>
    </row>
    <row r="772" spans="2:2" x14ac:dyDescent="0.2">
      <c r="B772" s="66"/>
    </row>
    <row r="773" spans="2:2" x14ac:dyDescent="0.2">
      <c r="B773" s="66"/>
    </row>
    <row r="774" spans="2:2" x14ac:dyDescent="0.2">
      <c r="B774" s="66"/>
    </row>
    <row r="775" spans="2:2" x14ac:dyDescent="0.2">
      <c r="B775" s="66"/>
    </row>
    <row r="776" spans="2:2" x14ac:dyDescent="0.2">
      <c r="B776" s="66"/>
    </row>
    <row r="777" spans="2:2" x14ac:dyDescent="0.2">
      <c r="B777" s="66"/>
    </row>
    <row r="778" spans="2:2" x14ac:dyDescent="0.2">
      <c r="B778" s="66"/>
    </row>
    <row r="779" spans="2:2" x14ac:dyDescent="0.2">
      <c r="B779" s="66"/>
    </row>
    <row r="780" spans="2:2" x14ac:dyDescent="0.2">
      <c r="B780" s="66"/>
    </row>
    <row r="781" spans="2:2" x14ac:dyDescent="0.2">
      <c r="B781" s="66"/>
    </row>
    <row r="782" spans="2:2" x14ac:dyDescent="0.2">
      <c r="B782" s="66"/>
    </row>
    <row r="783" spans="2:2" x14ac:dyDescent="0.2">
      <c r="B783" s="66"/>
    </row>
    <row r="784" spans="2:2" x14ac:dyDescent="0.2">
      <c r="B784" s="66"/>
    </row>
    <row r="785" spans="2:2" x14ac:dyDescent="0.2">
      <c r="B785" s="66"/>
    </row>
    <row r="786" spans="2:2" x14ac:dyDescent="0.2">
      <c r="B786" s="66"/>
    </row>
    <row r="787" spans="2:2" x14ac:dyDescent="0.2">
      <c r="B787" s="66"/>
    </row>
    <row r="788" spans="2:2" x14ac:dyDescent="0.2">
      <c r="B788" s="66"/>
    </row>
    <row r="789" spans="2:2" x14ac:dyDescent="0.2">
      <c r="B789" s="66"/>
    </row>
    <row r="790" spans="2:2" x14ac:dyDescent="0.2">
      <c r="B790" s="66"/>
    </row>
    <row r="791" spans="2:2" x14ac:dyDescent="0.2">
      <c r="B791" s="66"/>
    </row>
    <row r="792" spans="2:2" x14ac:dyDescent="0.2">
      <c r="B792" s="66"/>
    </row>
    <row r="793" spans="2:2" x14ac:dyDescent="0.2">
      <c r="B793" s="66"/>
    </row>
    <row r="794" spans="2:2" x14ac:dyDescent="0.2">
      <c r="B794" s="66"/>
    </row>
    <row r="795" spans="2:2" x14ac:dyDescent="0.2">
      <c r="B795" s="66"/>
    </row>
    <row r="796" spans="2:2" x14ac:dyDescent="0.2">
      <c r="B796" s="66"/>
    </row>
    <row r="797" spans="2:2" x14ac:dyDescent="0.2">
      <c r="B797" s="66"/>
    </row>
    <row r="798" spans="2:2" x14ac:dyDescent="0.2">
      <c r="B798" s="66"/>
    </row>
    <row r="799" spans="2:2" x14ac:dyDescent="0.2">
      <c r="B799" s="66"/>
    </row>
    <row r="800" spans="2:2" x14ac:dyDescent="0.2">
      <c r="B800" s="66"/>
    </row>
    <row r="801" spans="2:2" x14ac:dyDescent="0.2">
      <c r="B801" s="66"/>
    </row>
    <row r="802" spans="2:2" x14ac:dyDescent="0.2">
      <c r="B802" s="66"/>
    </row>
    <row r="803" spans="2:2" x14ac:dyDescent="0.2">
      <c r="B803" s="66"/>
    </row>
    <row r="804" spans="2:2" x14ac:dyDescent="0.2">
      <c r="B804" s="66"/>
    </row>
    <row r="805" spans="2:2" x14ac:dyDescent="0.2">
      <c r="B805" s="66"/>
    </row>
    <row r="806" spans="2:2" x14ac:dyDescent="0.2">
      <c r="B806" s="66"/>
    </row>
    <row r="807" spans="2:2" x14ac:dyDescent="0.2">
      <c r="B807" s="66"/>
    </row>
    <row r="808" spans="2:2" x14ac:dyDescent="0.2">
      <c r="B808" s="66"/>
    </row>
    <row r="809" spans="2:2" x14ac:dyDescent="0.2">
      <c r="B809" s="66"/>
    </row>
    <row r="810" spans="2:2" x14ac:dyDescent="0.2">
      <c r="B810" s="66"/>
    </row>
    <row r="811" spans="2:2" x14ac:dyDescent="0.2">
      <c r="B811" s="66"/>
    </row>
    <row r="812" spans="2:2" x14ac:dyDescent="0.2">
      <c r="B812" s="66"/>
    </row>
    <row r="813" spans="2:2" x14ac:dyDescent="0.2">
      <c r="B813" s="66"/>
    </row>
    <row r="814" spans="2:2" x14ac:dyDescent="0.2">
      <c r="B814" s="66"/>
    </row>
    <row r="815" spans="2:2" x14ac:dyDescent="0.2">
      <c r="B815" s="66"/>
    </row>
    <row r="816" spans="2:2" x14ac:dyDescent="0.2">
      <c r="B816" s="66"/>
    </row>
    <row r="817" spans="2:2" x14ac:dyDescent="0.2">
      <c r="B817" s="66"/>
    </row>
    <row r="818" spans="2:2" x14ac:dyDescent="0.2">
      <c r="B818" s="66"/>
    </row>
    <row r="819" spans="2:2" x14ac:dyDescent="0.2">
      <c r="B819" s="66"/>
    </row>
    <row r="820" spans="2:2" x14ac:dyDescent="0.2">
      <c r="B820" s="66"/>
    </row>
    <row r="821" spans="2:2" x14ac:dyDescent="0.2">
      <c r="B821" s="66"/>
    </row>
    <row r="822" spans="2:2" x14ac:dyDescent="0.2">
      <c r="B822" s="66"/>
    </row>
    <row r="823" spans="2:2" x14ac:dyDescent="0.2">
      <c r="B823" s="66"/>
    </row>
    <row r="824" spans="2:2" x14ac:dyDescent="0.2">
      <c r="B824" s="66"/>
    </row>
    <row r="825" spans="2:2" x14ac:dyDescent="0.2">
      <c r="B825" s="66"/>
    </row>
    <row r="826" spans="2:2" x14ac:dyDescent="0.2">
      <c r="B826" s="66"/>
    </row>
    <row r="827" spans="2:2" x14ac:dyDescent="0.2">
      <c r="B827" s="66"/>
    </row>
    <row r="828" spans="2:2" x14ac:dyDescent="0.2">
      <c r="B828" s="66"/>
    </row>
    <row r="829" spans="2:2" x14ac:dyDescent="0.2">
      <c r="B829" s="66"/>
    </row>
    <row r="830" spans="2:2" x14ac:dyDescent="0.2">
      <c r="B830" s="66"/>
    </row>
    <row r="831" spans="2:2" x14ac:dyDescent="0.2">
      <c r="B831" s="66"/>
    </row>
    <row r="832" spans="2:2" x14ac:dyDescent="0.2">
      <c r="B832" s="66"/>
    </row>
    <row r="833" spans="2:2" x14ac:dyDescent="0.2">
      <c r="B833" s="66"/>
    </row>
    <row r="834" spans="2:2" x14ac:dyDescent="0.2">
      <c r="B834" s="66"/>
    </row>
    <row r="835" spans="2:2" x14ac:dyDescent="0.2">
      <c r="B835" s="66"/>
    </row>
    <row r="836" spans="2:2" x14ac:dyDescent="0.2">
      <c r="B836" s="66"/>
    </row>
    <row r="837" spans="2:2" x14ac:dyDescent="0.2">
      <c r="B837" s="66"/>
    </row>
    <row r="838" spans="2:2" x14ac:dyDescent="0.2">
      <c r="B838" s="66"/>
    </row>
    <row r="839" spans="2:2" x14ac:dyDescent="0.2">
      <c r="B839" s="66"/>
    </row>
    <row r="840" spans="2:2" x14ac:dyDescent="0.2">
      <c r="B840" s="66"/>
    </row>
    <row r="841" spans="2:2" x14ac:dyDescent="0.2">
      <c r="B841" s="66"/>
    </row>
    <row r="842" spans="2:2" x14ac:dyDescent="0.2">
      <c r="B842" s="66"/>
    </row>
    <row r="843" spans="2:2" x14ac:dyDescent="0.2">
      <c r="B843" s="66"/>
    </row>
    <row r="844" spans="2:2" x14ac:dyDescent="0.2">
      <c r="B844" s="66"/>
    </row>
    <row r="845" spans="2:2" x14ac:dyDescent="0.2">
      <c r="B845" s="66"/>
    </row>
    <row r="846" spans="2:2" x14ac:dyDescent="0.2">
      <c r="B846" s="66"/>
    </row>
    <row r="847" spans="2:2" x14ac:dyDescent="0.2">
      <c r="B847" s="66"/>
    </row>
    <row r="848" spans="2:2" x14ac:dyDescent="0.2">
      <c r="B848" s="66"/>
    </row>
    <row r="849" spans="2:2" x14ac:dyDescent="0.2">
      <c r="B849" s="66"/>
    </row>
    <row r="850" spans="2:2" x14ac:dyDescent="0.2">
      <c r="B850" s="66"/>
    </row>
    <row r="851" spans="2:2" x14ac:dyDescent="0.2">
      <c r="B851" s="66"/>
    </row>
    <row r="852" spans="2:2" x14ac:dyDescent="0.2">
      <c r="B852" s="66"/>
    </row>
    <row r="853" spans="2:2" x14ac:dyDescent="0.2">
      <c r="B853" s="66"/>
    </row>
    <row r="854" spans="2:2" x14ac:dyDescent="0.2">
      <c r="B854" s="66"/>
    </row>
    <row r="855" spans="2:2" x14ac:dyDescent="0.2">
      <c r="B855" s="66"/>
    </row>
    <row r="856" spans="2:2" x14ac:dyDescent="0.2">
      <c r="B856" s="66"/>
    </row>
    <row r="857" spans="2:2" x14ac:dyDescent="0.2">
      <c r="B857" s="66"/>
    </row>
    <row r="858" spans="2:2" x14ac:dyDescent="0.2">
      <c r="B858" s="66"/>
    </row>
    <row r="859" spans="2:2" x14ac:dyDescent="0.2">
      <c r="B859" s="66"/>
    </row>
    <row r="860" spans="2:2" x14ac:dyDescent="0.2">
      <c r="B860" s="66"/>
    </row>
    <row r="861" spans="2:2" x14ac:dyDescent="0.2">
      <c r="B861" s="66"/>
    </row>
    <row r="862" spans="2:2" x14ac:dyDescent="0.2">
      <c r="B862" s="66"/>
    </row>
    <row r="863" spans="2:2" x14ac:dyDescent="0.2">
      <c r="B863" s="66"/>
    </row>
    <row r="864" spans="2:2" x14ac:dyDescent="0.2">
      <c r="B864" s="66"/>
    </row>
    <row r="865" spans="2:2" x14ac:dyDescent="0.2">
      <c r="B865" s="66"/>
    </row>
    <row r="866" spans="2:2" x14ac:dyDescent="0.2">
      <c r="B866" s="66"/>
    </row>
    <row r="867" spans="2:2" x14ac:dyDescent="0.2">
      <c r="B867" s="66"/>
    </row>
    <row r="868" spans="2:2" x14ac:dyDescent="0.2">
      <c r="B868" s="66"/>
    </row>
    <row r="869" spans="2:2" x14ac:dyDescent="0.2">
      <c r="B869" s="66"/>
    </row>
    <row r="870" spans="2:2" x14ac:dyDescent="0.2">
      <c r="B870" s="66"/>
    </row>
    <row r="871" spans="2:2" x14ac:dyDescent="0.2">
      <c r="B871" s="66"/>
    </row>
    <row r="872" spans="2:2" x14ac:dyDescent="0.2">
      <c r="B872" s="66"/>
    </row>
    <row r="873" spans="2:2" x14ac:dyDescent="0.2">
      <c r="B873" s="66"/>
    </row>
    <row r="874" spans="2:2" x14ac:dyDescent="0.2">
      <c r="B874" s="66"/>
    </row>
    <row r="875" spans="2:2" x14ac:dyDescent="0.2">
      <c r="B875" s="66"/>
    </row>
    <row r="876" spans="2:2" x14ac:dyDescent="0.2">
      <c r="B876" s="66"/>
    </row>
    <row r="877" spans="2:2" x14ac:dyDescent="0.2">
      <c r="B877" s="66"/>
    </row>
    <row r="878" spans="2:2" x14ac:dyDescent="0.2">
      <c r="B878" s="66"/>
    </row>
    <row r="879" spans="2:2" x14ac:dyDescent="0.2">
      <c r="B879" s="66"/>
    </row>
    <row r="880" spans="2:2" x14ac:dyDescent="0.2">
      <c r="B880" s="66"/>
    </row>
    <row r="881" spans="2:2" x14ac:dyDescent="0.2">
      <c r="B881" s="66"/>
    </row>
    <row r="882" spans="2:2" x14ac:dyDescent="0.2">
      <c r="B882" s="66"/>
    </row>
    <row r="883" spans="2:2" x14ac:dyDescent="0.2">
      <c r="B883" s="66"/>
    </row>
    <row r="884" spans="2:2" x14ac:dyDescent="0.2">
      <c r="B884" s="66"/>
    </row>
    <row r="885" spans="2:2" x14ac:dyDescent="0.2">
      <c r="B885" s="66"/>
    </row>
    <row r="886" spans="2:2" x14ac:dyDescent="0.2">
      <c r="B886" s="66"/>
    </row>
    <row r="887" spans="2:2" x14ac:dyDescent="0.2">
      <c r="B887" s="66"/>
    </row>
    <row r="888" spans="2:2" x14ac:dyDescent="0.2">
      <c r="B888" s="66"/>
    </row>
    <row r="889" spans="2:2" x14ac:dyDescent="0.2">
      <c r="B889" s="66"/>
    </row>
    <row r="890" spans="2:2" x14ac:dyDescent="0.2">
      <c r="B890" s="66"/>
    </row>
    <row r="891" spans="2:2" x14ac:dyDescent="0.2">
      <c r="B891" s="66"/>
    </row>
    <row r="892" spans="2:2" x14ac:dyDescent="0.2">
      <c r="B892" s="66"/>
    </row>
    <row r="893" spans="2:2" x14ac:dyDescent="0.2">
      <c r="B893" s="66"/>
    </row>
    <row r="894" spans="2:2" x14ac:dyDescent="0.2">
      <c r="B894" s="66"/>
    </row>
    <row r="895" spans="2:2" x14ac:dyDescent="0.2">
      <c r="B895" s="66"/>
    </row>
    <row r="896" spans="2:2" x14ac:dyDescent="0.2">
      <c r="B896" s="66"/>
    </row>
    <row r="897" spans="2:2" x14ac:dyDescent="0.2">
      <c r="B897" s="66"/>
    </row>
    <row r="898" spans="2:2" x14ac:dyDescent="0.2">
      <c r="B898" s="66"/>
    </row>
    <row r="899" spans="2:2" x14ac:dyDescent="0.2">
      <c r="B899" s="66"/>
    </row>
    <row r="900" spans="2:2" x14ac:dyDescent="0.2">
      <c r="B900" s="66"/>
    </row>
    <row r="901" spans="2:2" x14ac:dyDescent="0.2">
      <c r="B901" s="66"/>
    </row>
    <row r="902" spans="2:2" x14ac:dyDescent="0.2">
      <c r="B902" s="66"/>
    </row>
    <row r="903" spans="2:2" x14ac:dyDescent="0.2">
      <c r="B903" s="66"/>
    </row>
    <row r="904" spans="2:2" x14ac:dyDescent="0.2">
      <c r="B904" s="66"/>
    </row>
    <row r="905" spans="2:2" x14ac:dyDescent="0.2">
      <c r="B905" s="66"/>
    </row>
    <row r="906" spans="2:2" x14ac:dyDescent="0.2">
      <c r="B906" s="66"/>
    </row>
    <row r="907" spans="2:2" x14ac:dyDescent="0.2">
      <c r="B907" s="66"/>
    </row>
    <row r="908" spans="2:2" x14ac:dyDescent="0.2">
      <c r="B908" s="66"/>
    </row>
    <row r="909" spans="2:2" x14ac:dyDescent="0.2">
      <c r="B909" s="66"/>
    </row>
    <row r="910" spans="2:2" x14ac:dyDescent="0.2">
      <c r="B910" s="66"/>
    </row>
    <row r="911" spans="2:2" x14ac:dyDescent="0.2">
      <c r="B911" s="66"/>
    </row>
    <row r="912" spans="2:2" x14ac:dyDescent="0.2">
      <c r="B912" s="66"/>
    </row>
    <row r="913" spans="2:2" x14ac:dyDescent="0.2">
      <c r="B913" s="66"/>
    </row>
    <row r="914" spans="2:2" x14ac:dyDescent="0.2">
      <c r="B914" s="66"/>
    </row>
    <row r="915" spans="2:2" x14ac:dyDescent="0.2">
      <c r="B915" s="66"/>
    </row>
    <row r="916" spans="2:2" x14ac:dyDescent="0.2">
      <c r="B916" s="66"/>
    </row>
    <row r="917" spans="2:2" x14ac:dyDescent="0.2">
      <c r="B917" s="66"/>
    </row>
    <row r="918" spans="2:2" x14ac:dyDescent="0.2">
      <c r="B918" s="66"/>
    </row>
    <row r="919" spans="2:2" x14ac:dyDescent="0.2">
      <c r="B919" s="66"/>
    </row>
    <row r="920" spans="2:2" x14ac:dyDescent="0.2">
      <c r="B920" s="66"/>
    </row>
    <row r="921" spans="2:2" x14ac:dyDescent="0.2">
      <c r="B921" s="66"/>
    </row>
    <row r="922" spans="2:2" x14ac:dyDescent="0.2">
      <c r="B922" s="66"/>
    </row>
    <row r="923" spans="2:2" x14ac:dyDescent="0.2">
      <c r="B923" s="66"/>
    </row>
    <row r="924" spans="2:2" x14ac:dyDescent="0.2">
      <c r="B924" s="66"/>
    </row>
    <row r="925" spans="2:2" x14ac:dyDescent="0.2">
      <c r="B925" s="66"/>
    </row>
    <row r="926" spans="2:2" x14ac:dyDescent="0.2">
      <c r="B926" s="66"/>
    </row>
    <row r="927" spans="2:2" x14ac:dyDescent="0.2">
      <c r="B927" s="66"/>
    </row>
    <row r="928" spans="2:2" x14ac:dyDescent="0.2">
      <c r="B928" s="66"/>
    </row>
    <row r="929" spans="2:2" x14ac:dyDescent="0.2">
      <c r="B929" s="66"/>
    </row>
    <row r="930" spans="2:2" x14ac:dyDescent="0.2">
      <c r="B930" s="66"/>
    </row>
    <row r="931" spans="2:2" x14ac:dyDescent="0.2">
      <c r="B931" s="66"/>
    </row>
    <row r="932" spans="2:2" x14ac:dyDescent="0.2">
      <c r="B932" s="66"/>
    </row>
    <row r="933" spans="2:2" x14ac:dyDescent="0.2">
      <c r="B933" s="66"/>
    </row>
    <row r="934" spans="2:2" x14ac:dyDescent="0.2">
      <c r="B934" s="66"/>
    </row>
    <row r="935" spans="2:2" x14ac:dyDescent="0.2">
      <c r="B935" s="66"/>
    </row>
    <row r="936" spans="2:2" x14ac:dyDescent="0.2">
      <c r="B936" s="66"/>
    </row>
    <row r="937" spans="2:2" x14ac:dyDescent="0.2">
      <c r="B937" s="66"/>
    </row>
    <row r="938" spans="2:2" x14ac:dyDescent="0.2">
      <c r="B938" s="66"/>
    </row>
    <row r="939" spans="2:2" x14ac:dyDescent="0.2">
      <c r="B939" s="66"/>
    </row>
    <row r="940" spans="2:2" x14ac:dyDescent="0.2">
      <c r="B940" s="66"/>
    </row>
    <row r="941" spans="2:2" x14ac:dyDescent="0.2">
      <c r="B941" s="66"/>
    </row>
    <row r="942" spans="2:2" x14ac:dyDescent="0.2">
      <c r="B942" s="66"/>
    </row>
    <row r="943" spans="2:2" x14ac:dyDescent="0.2">
      <c r="B943" s="66"/>
    </row>
    <row r="944" spans="2:2" x14ac:dyDescent="0.2">
      <c r="B944" s="66"/>
    </row>
    <row r="945" spans="2:2" x14ac:dyDescent="0.2">
      <c r="B945" s="66"/>
    </row>
    <row r="946" spans="2:2" x14ac:dyDescent="0.2">
      <c r="B946" s="66"/>
    </row>
    <row r="947" spans="2:2" x14ac:dyDescent="0.2">
      <c r="B947" s="66"/>
    </row>
    <row r="948" spans="2:2" x14ac:dyDescent="0.2">
      <c r="B948" s="66"/>
    </row>
    <row r="949" spans="2:2" x14ac:dyDescent="0.2">
      <c r="B949" s="66"/>
    </row>
    <row r="950" spans="2:2" x14ac:dyDescent="0.2">
      <c r="B950" s="66"/>
    </row>
    <row r="951" spans="2:2" x14ac:dyDescent="0.2">
      <c r="B951" s="66"/>
    </row>
    <row r="952" spans="2:2" x14ac:dyDescent="0.2">
      <c r="B952" s="66"/>
    </row>
    <row r="953" spans="2:2" x14ac:dyDescent="0.2">
      <c r="B953" s="66"/>
    </row>
    <row r="954" spans="2:2" x14ac:dyDescent="0.2">
      <c r="B954" s="66"/>
    </row>
    <row r="955" spans="2:2" x14ac:dyDescent="0.2">
      <c r="B955" s="66"/>
    </row>
    <row r="956" spans="2:2" x14ac:dyDescent="0.2">
      <c r="B956" s="66"/>
    </row>
    <row r="957" spans="2:2" x14ac:dyDescent="0.2">
      <c r="B957" s="66"/>
    </row>
    <row r="958" spans="2:2" x14ac:dyDescent="0.2">
      <c r="B958" s="66"/>
    </row>
    <row r="959" spans="2:2" x14ac:dyDescent="0.2">
      <c r="B959" s="66"/>
    </row>
    <row r="960" spans="2:2" x14ac:dyDescent="0.2">
      <c r="B960" s="66"/>
    </row>
    <row r="961" spans="2:2" x14ac:dyDescent="0.2">
      <c r="B961" s="66"/>
    </row>
    <row r="962" spans="2:2" x14ac:dyDescent="0.2">
      <c r="B962" s="66"/>
    </row>
    <row r="963" spans="2:2" x14ac:dyDescent="0.2">
      <c r="B963" s="66"/>
    </row>
    <row r="964" spans="2:2" x14ac:dyDescent="0.2">
      <c r="B964" s="66"/>
    </row>
    <row r="965" spans="2:2" x14ac:dyDescent="0.2">
      <c r="B965" s="66"/>
    </row>
    <row r="966" spans="2:2" x14ac:dyDescent="0.2">
      <c r="B966" s="66"/>
    </row>
    <row r="967" spans="2:2" x14ac:dyDescent="0.2">
      <c r="B967" s="66"/>
    </row>
    <row r="968" spans="2:2" x14ac:dyDescent="0.2">
      <c r="B968" s="66"/>
    </row>
    <row r="969" spans="2:2" x14ac:dyDescent="0.2">
      <c r="B969" s="66"/>
    </row>
    <row r="970" spans="2:2" x14ac:dyDescent="0.2">
      <c r="B970" s="66"/>
    </row>
    <row r="971" spans="2:2" x14ac:dyDescent="0.2">
      <c r="B971" s="66"/>
    </row>
    <row r="972" spans="2:2" x14ac:dyDescent="0.2">
      <c r="B972" s="66"/>
    </row>
    <row r="973" spans="2:2" x14ac:dyDescent="0.2">
      <c r="B973" s="66"/>
    </row>
    <row r="974" spans="2:2" x14ac:dyDescent="0.2">
      <c r="B974" s="66"/>
    </row>
    <row r="975" spans="2:2" x14ac:dyDescent="0.2">
      <c r="B975" s="66"/>
    </row>
    <row r="976" spans="2:2" x14ac:dyDescent="0.2">
      <c r="B976" s="66"/>
    </row>
    <row r="977" spans="2:2" x14ac:dyDescent="0.2">
      <c r="B977" s="66"/>
    </row>
    <row r="978" spans="2:2" x14ac:dyDescent="0.2">
      <c r="B978" s="66"/>
    </row>
    <row r="979" spans="2:2" x14ac:dyDescent="0.2">
      <c r="B979" s="66"/>
    </row>
    <row r="980" spans="2:2" x14ac:dyDescent="0.2">
      <c r="B980" s="66"/>
    </row>
    <row r="981" spans="2:2" x14ac:dyDescent="0.2">
      <c r="B981" s="66"/>
    </row>
    <row r="982" spans="2:2" x14ac:dyDescent="0.2">
      <c r="B982" s="66"/>
    </row>
    <row r="983" spans="2:2" x14ac:dyDescent="0.2">
      <c r="B983" s="66"/>
    </row>
    <row r="984" spans="2:2" x14ac:dyDescent="0.2">
      <c r="B984" s="66"/>
    </row>
    <row r="985" spans="2:2" x14ac:dyDescent="0.2">
      <c r="B985" s="66"/>
    </row>
    <row r="986" spans="2:2" x14ac:dyDescent="0.2">
      <c r="B986" s="66"/>
    </row>
    <row r="987" spans="2:2" x14ac:dyDescent="0.2">
      <c r="B987" s="66"/>
    </row>
    <row r="988" spans="2:2" x14ac:dyDescent="0.2">
      <c r="B988" s="66"/>
    </row>
    <row r="989" spans="2:2" x14ac:dyDescent="0.2">
      <c r="B989" s="66"/>
    </row>
    <row r="990" spans="2:2" x14ac:dyDescent="0.2">
      <c r="B990" s="66"/>
    </row>
    <row r="991" spans="2:2" x14ac:dyDescent="0.2">
      <c r="B991" s="66"/>
    </row>
    <row r="992" spans="2:2" x14ac:dyDescent="0.2">
      <c r="B992" s="66"/>
    </row>
    <row r="993" spans="2:2" x14ac:dyDescent="0.2">
      <c r="B993" s="66"/>
    </row>
    <row r="994" spans="2:2" x14ac:dyDescent="0.2">
      <c r="B994" s="66"/>
    </row>
    <row r="995" spans="2:2" x14ac:dyDescent="0.2">
      <c r="B995" s="66"/>
    </row>
    <row r="996" spans="2:2" x14ac:dyDescent="0.2">
      <c r="B996" s="66"/>
    </row>
    <row r="997" spans="2:2" x14ac:dyDescent="0.2">
      <c r="B997" s="66"/>
    </row>
    <row r="998" spans="2:2" x14ac:dyDescent="0.2">
      <c r="B998" s="66"/>
    </row>
    <row r="999" spans="2:2" x14ac:dyDescent="0.2">
      <c r="B999" s="66"/>
    </row>
    <row r="1000" spans="2:2" x14ac:dyDescent="0.2">
      <c r="B1000" s="6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Datainsamling</vt:lpstr>
      <vt:lpstr>1100</vt:lpstr>
      <vt:lpstr>Kopia av Blad11</vt:lpstr>
      <vt:lpstr>Projektplanering</vt:lpstr>
      <vt:lpstr>Grafer</vt:lpstr>
      <vt:lpstr>Output</vt:lpstr>
      <vt:lpstr>Blad10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Berlin</cp:lastModifiedBy>
  <dcterms:modified xsi:type="dcterms:W3CDTF">2024-12-20T12:46:29Z</dcterms:modified>
</cp:coreProperties>
</file>